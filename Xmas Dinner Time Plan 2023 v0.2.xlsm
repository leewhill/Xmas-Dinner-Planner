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o\Documents\GitHub\Xmas-Dinner-Planner\"/>
    </mc:Choice>
  </mc:AlternateContent>
  <xr:revisionPtr revIDLastSave="0" documentId="13_ncr:1_{228FC23E-9BDC-49C6-83EF-8B469A0C0CA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lan" sheetId="1" r:id="rId1"/>
    <sheet name="Parameters" sheetId="2" r:id="rId2"/>
  </sheets>
  <functionGroups builtInGroupCount="19"/>
  <definedNames>
    <definedName name="_xlnm._FilterDatabase" localSheetId="0" hidden="1">Plan!$A$8:$J$103</definedName>
    <definedName name="Carve1">Plan!#REF!</definedName>
    <definedName name="CarveTurkey">Plan!$C$84</definedName>
    <definedName name="Clear">Plan!$H$3</definedName>
    <definedName name="colComp">Plan!$J$8</definedName>
    <definedName name="colDue">Plan!$I$8</definedName>
    <definedName name="colInOut">Plan!$G$8</definedName>
    <definedName name="colLoc">Plan!$F$8</definedName>
    <definedName name="colLoc1">Plan!$L$6</definedName>
    <definedName name="colLoc2">Plan!$M$6</definedName>
    <definedName name="colLoc3">Plan!$N$6</definedName>
    <definedName name="colLoc4">Plan!$O$6</definedName>
    <definedName name="colLoc5">Plan!$P$6</definedName>
    <definedName name="colMinus">Plan!$C$8</definedName>
    <definedName name="colTime">Plan!$D$8</definedName>
    <definedName name="colTImeVal">Plan!$K$8</definedName>
    <definedName name="DuckRest">Plan!$P$6</definedName>
    <definedName name="DuckRoast">Plan!$P$5</definedName>
    <definedName name="green">Parameters!$C$3</definedName>
    <definedName name="list">Plan!$B$9:$J$102</definedName>
    <definedName name="Meat1">Plan!$C$2</definedName>
    <definedName name="Meat2">Plan!$C$3</definedName>
    <definedName name="now">Plan!$F$6</definedName>
    <definedName name="red">Parameters!$C$2</definedName>
    <definedName name="Reformat">Plan!$H$2</definedName>
    <definedName name="refresh">Parameters!$C$4</definedName>
    <definedName name="Rest">Plan!$I$6</definedName>
    <definedName name="Rest1">Plan!$E$2</definedName>
    <definedName name="Rest2">Plan!$E$3</definedName>
    <definedName name="Roast">Plan!$I$5</definedName>
    <definedName name="Roast1">Plan!$D$2</definedName>
    <definedName name="Roast2">Plan!$D$3</definedName>
    <definedName name="Serve">Plan!$D$4</definedName>
    <definedName name="Start">Plan!$B$5</definedName>
    <definedName name="Status">Plan!$D$6</definedName>
    <definedName name="Time">Plan!$E$6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8" i="1" l="1"/>
  <c r="K63" i="1"/>
  <c r="K60" i="1"/>
  <c r="K59" i="1"/>
  <c r="K35" i="1"/>
  <c r="K19" i="1"/>
  <c r="K16" i="1"/>
  <c r="D103" i="1"/>
  <c r="K103" i="1" s="1"/>
  <c r="D102" i="1"/>
  <c r="K102" i="1" s="1"/>
  <c r="D101" i="1"/>
  <c r="K101" i="1" s="1"/>
  <c r="D100" i="1"/>
  <c r="K100" i="1" s="1"/>
  <c r="D99" i="1"/>
  <c r="K99" i="1" s="1"/>
  <c r="D98" i="1"/>
  <c r="K98" i="1" s="1"/>
  <c r="D97" i="1"/>
  <c r="K97" i="1" s="1"/>
  <c r="D96" i="1"/>
  <c r="K96" i="1" s="1"/>
  <c r="D95" i="1"/>
  <c r="K95" i="1" s="1"/>
  <c r="D94" i="1"/>
  <c r="K94" i="1" s="1"/>
  <c r="D93" i="1"/>
  <c r="K93" i="1" s="1"/>
  <c r="D92" i="1"/>
  <c r="K92" i="1" s="1"/>
  <c r="D91" i="1"/>
  <c r="K91" i="1" s="1"/>
  <c r="D90" i="1"/>
  <c r="K90" i="1" s="1"/>
  <c r="D89" i="1"/>
  <c r="K89" i="1" s="1"/>
  <c r="D88" i="1"/>
  <c r="K88" i="1" s="1"/>
  <c r="D87" i="1"/>
  <c r="K87" i="1" s="1"/>
  <c r="D86" i="1"/>
  <c r="K86" i="1" s="1"/>
  <c r="D85" i="1"/>
  <c r="K85" i="1" s="1"/>
  <c r="D84" i="1"/>
  <c r="K84" i="1" s="1"/>
  <c r="D83" i="1"/>
  <c r="K83" i="1" s="1"/>
  <c r="D82" i="1"/>
  <c r="K82" i="1" s="1"/>
  <c r="D81" i="1"/>
  <c r="K81" i="1" s="1"/>
  <c r="D80" i="1"/>
  <c r="K80" i="1" s="1"/>
  <c r="D79" i="1"/>
  <c r="K79" i="1" s="1"/>
  <c r="D78" i="1"/>
  <c r="D77" i="1"/>
  <c r="K77" i="1" s="1"/>
  <c r="D76" i="1"/>
  <c r="K76" i="1" s="1"/>
  <c r="D75" i="1"/>
  <c r="K75" i="1" s="1"/>
  <c r="D74" i="1"/>
  <c r="K74" i="1" s="1"/>
  <c r="D73" i="1"/>
  <c r="K73" i="1" s="1"/>
  <c r="D72" i="1"/>
  <c r="K72" i="1" s="1"/>
  <c r="D71" i="1"/>
  <c r="K71" i="1" s="1"/>
  <c r="D70" i="1"/>
  <c r="K70" i="1" s="1"/>
  <c r="D69" i="1"/>
  <c r="K69" i="1" s="1"/>
  <c r="D68" i="1"/>
  <c r="K68" i="1" s="1"/>
  <c r="D66" i="1"/>
  <c r="K66" i="1" s="1"/>
  <c r="D65" i="1"/>
  <c r="K65" i="1" s="1"/>
  <c r="D64" i="1"/>
  <c r="K64" i="1" s="1"/>
  <c r="D63" i="1"/>
  <c r="D62" i="1"/>
  <c r="K62" i="1" s="1"/>
  <c r="D61" i="1"/>
  <c r="K61" i="1" s="1"/>
  <c r="D60" i="1"/>
  <c r="D59" i="1"/>
  <c r="D57" i="1"/>
  <c r="K57" i="1" s="1"/>
  <c r="D56" i="1"/>
  <c r="K56" i="1" s="1"/>
  <c r="D55" i="1"/>
  <c r="K55" i="1" s="1"/>
  <c r="D54" i="1"/>
  <c r="K54" i="1" s="1"/>
  <c r="D53" i="1"/>
  <c r="K53" i="1" s="1"/>
  <c r="D51" i="1"/>
  <c r="K51" i="1" s="1"/>
  <c r="D50" i="1"/>
  <c r="K50" i="1" s="1"/>
  <c r="D49" i="1"/>
  <c r="K49" i="1" s="1"/>
  <c r="D47" i="1"/>
  <c r="K47" i="1" s="1"/>
  <c r="D46" i="1"/>
  <c r="K46" i="1" s="1"/>
  <c r="D45" i="1"/>
  <c r="K45" i="1" s="1"/>
  <c r="D44" i="1"/>
  <c r="K44" i="1" s="1"/>
  <c r="D43" i="1"/>
  <c r="K43" i="1" s="1"/>
  <c r="D42" i="1"/>
  <c r="K42" i="1" s="1"/>
  <c r="D41" i="1"/>
  <c r="K41" i="1" s="1"/>
  <c r="D40" i="1"/>
  <c r="K40" i="1" s="1"/>
  <c r="D39" i="1"/>
  <c r="K39" i="1" s="1"/>
  <c r="D38" i="1"/>
  <c r="K38" i="1" s="1"/>
  <c r="D36" i="1"/>
  <c r="K36" i="1" s="1"/>
  <c r="D35" i="1"/>
  <c r="D34" i="1"/>
  <c r="K34" i="1" s="1"/>
  <c r="D33" i="1"/>
  <c r="K33" i="1" s="1"/>
  <c r="D32" i="1"/>
  <c r="K32" i="1" s="1"/>
  <c r="D31" i="1"/>
  <c r="K31" i="1" s="1"/>
  <c r="D30" i="1"/>
  <c r="K30" i="1" s="1"/>
  <c r="D29" i="1"/>
  <c r="K29" i="1" s="1"/>
  <c r="D28" i="1"/>
  <c r="K28" i="1" s="1"/>
  <c r="D27" i="1"/>
  <c r="K27" i="1" s="1"/>
  <c r="D26" i="1"/>
  <c r="K26" i="1" s="1"/>
  <c r="D25" i="1"/>
  <c r="K25" i="1" s="1"/>
  <c r="D24" i="1"/>
  <c r="K24" i="1" s="1"/>
  <c r="D21" i="1"/>
  <c r="K21" i="1" s="1"/>
  <c r="D20" i="1"/>
  <c r="K20" i="1" s="1"/>
  <c r="D19" i="1"/>
  <c r="D18" i="1"/>
  <c r="K18" i="1" s="1"/>
  <c r="D17" i="1"/>
  <c r="K17" i="1" s="1"/>
  <c r="D16" i="1"/>
  <c r="D15" i="1"/>
  <c r="K15" i="1" s="1"/>
  <c r="D14" i="1"/>
  <c r="K14" i="1" s="1"/>
  <c r="D13" i="1"/>
  <c r="K13" i="1" s="1"/>
  <c r="D12" i="1"/>
  <c r="K12" i="1" s="1"/>
  <c r="D11" i="1"/>
  <c r="K11" i="1" s="1"/>
  <c r="D10" i="1"/>
  <c r="K10" i="1" s="1"/>
  <c r="P9" i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O9" i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N9" i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M9" i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L9" i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D9" i="1"/>
  <c r="K9" i="1" s="1"/>
  <c r="C22" i="1"/>
  <c r="D22" i="1" s="1"/>
  <c r="K22" i="1" s="1"/>
  <c r="C23" i="1"/>
  <c r="D23" i="1" s="1"/>
  <c r="K23" i="1" s="1"/>
  <c r="C48" i="1"/>
  <c r="D48" i="1" s="1"/>
  <c r="K48" i="1" s="1"/>
  <c r="C58" i="1"/>
  <c r="D58" i="1" s="1"/>
  <c r="K58" i="1" s="1"/>
  <c r="E98" i="1"/>
  <c r="E86" i="1"/>
  <c r="E58" i="1"/>
  <c r="E48" i="1"/>
  <c r="E23" i="1"/>
  <c r="E22" i="1"/>
  <c r="E21" i="1"/>
  <c r="E19" i="1"/>
  <c r="C37" i="1"/>
  <c r="D37" i="1" s="1"/>
  <c r="K37" i="1" s="1"/>
  <c r="C52" i="1"/>
  <c r="D52" i="1" s="1"/>
  <c r="K52" i="1" s="1"/>
  <c r="C67" i="1"/>
  <c r="D67" i="1" s="1"/>
  <c r="K67" i="1" s="1"/>
  <c r="E90" i="1"/>
  <c r="E67" i="1"/>
  <c r="E52" i="1"/>
  <c r="E37" i="1"/>
  <c r="E12" i="1"/>
  <c r="E6" i="1"/>
  <c r="F6" i="1" s="1"/>
  <c r="I9" i="1" l="1"/>
  <c r="I54" i="1"/>
  <c r="I74" i="1"/>
  <c r="I94" i="1"/>
  <c r="I15" i="1"/>
  <c r="I35" i="1"/>
  <c r="I55" i="1"/>
  <c r="I75" i="1"/>
  <c r="I95" i="1"/>
  <c r="I34" i="1"/>
  <c r="I97" i="1"/>
  <c r="I18" i="1"/>
  <c r="I38" i="1"/>
  <c r="I58" i="1"/>
  <c r="I78" i="1"/>
  <c r="I98" i="1"/>
  <c r="I19" i="1"/>
  <c r="I39" i="1"/>
  <c r="I59" i="1"/>
  <c r="I79" i="1"/>
  <c r="I99" i="1"/>
  <c r="I100" i="1"/>
  <c r="I101" i="1"/>
  <c r="I73" i="1"/>
  <c r="I56" i="1"/>
  <c r="I77" i="1"/>
  <c r="I62" i="1"/>
  <c r="I82" i="1"/>
  <c r="I102" i="1"/>
  <c r="I103" i="1"/>
  <c r="I33" i="1"/>
  <c r="I76" i="1"/>
  <c r="I17" i="1"/>
  <c r="I80" i="1"/>
  <c r="I61" i="1"/>
  <c r="I83" i="1"/>
  <c r="I24" i="1"/>
  <c r="I44" i="1"/>
  <c r="I64" i="1"/>
  <c r="I84" i="1"/>
  <c r="I14" i="1"/>
  <c r="I96" i="1"/>
  <c r="I60" i="1"/>
  <c r="I41" i="1"/>
  <c r="I42" i="1"/>
  <c r="I25" i="1"/>
  <c r="I45" i="1"/>
  <c r="I65" i="1"/>
  <c r="I85" i="1"/>
  <c r="I53" i="1"/>
  <c r="I16" i="1"/>
  <c r="I57" i="1"/>
  <c r="I21" i="1"/>
  <c r="I43" i="1"/>
  <c r="I26" i="1"/>
  <c r="I46" i="1"/>
  <c r="I66" i="1"/>
  <c r="I86" i="1"/>
  <c r="I13" i="1"/>
  <c r="I40" i="1"/>
  <c r="I22" i="1"/>
  <c r="I23" i="1"/>
  <c r="I27" i="1"/>
  <c r="I47" i="1"/>
  <c r="I67" i="1"/>
  <c r="I87" i="1"/>
  <c r="I36" i="1"/>
  <c r="I37" i="1"/>
  <c r="I20" i="1"/>
  <c r="I81" i="1"/>
  <c r="I63" i="1"/>
  <c r="I28" i="1"/>
  <c r="I48" i="1"/>
  <c r="I68" i="1"/>
  <c r="I88" i="1"/>
  <c r="I29" i="1"/>
  <c r="I49" i="1"/>
  <c r="I69" i="1"/>
  <c r="I89" i="1"/>
  <c r="I93" i="1"/>
  <c r="I10" i="1"/>
  <c r="I30" i="1"/>
  <c r="I50" i="1"/>
  <c r="I70" i="1"/>
  <c r="I90" i="1"/>
  <c r="I11" i="1"/>
  <c r="I31" i="1"/>
  <c r="I51" i="1"/>
  <c r="I71" i="1"/>
  <c r="I91" i="1"/>
  <c r="I12" i="1"/>
  <c r="I32" i="1"/>
  <c r="I52" i="1"/>
  <c r="I72" i="1"/>
  <c r="I92" i="1"/>
</calcChain>
</file>

<file path=xl/sharedStrings.xml><?xml version="1.0" encoding="utf-8"?>
<sst xmlns="http://schemas.openxmlformats.org/spreadsheetml/2006/main" count="364" uniqueCount="145">
  <si>
    <t>Status</t>
  </si>
  <si>
    <t>Description</t>
  </si>
  <si>
    <t>Time</t>
  </si>
  <si>
    <t>Item</t>
  </si>
  <si>
    <t>Resp</t>
  </si>
  <si>
    <t>Due</t>
  </si>
  <si>
    <t>Complete</t>
  </si>
  <si>
    <t>veg roast</t>
  </si>
  <si>
    <t>Gravy</t>
  </si>
  <si>
    <t>Veg gravy</t>
  </si>
  <si>
    <t>micro</t>
  </si>
  <si>
    <t>Carrots out of oven</t>
  </si>
  <si>
    <t>Parsnips out of oven</t>
  </si>
  <si>
    <t>Serve peas</t>
  </si>
  <si>
    <t>hob</t>
  </si>
  <si>
    <t>veggie pigs</t>
  </si>
  <si>
    <t>N/a</t>
  </si>
  <si>
    <t>Potatoes</t>
  </si>
  <si>
    <t>Parsnips</t>
  </si>
  <si>
    <t>Carrots</t>
  </si>
  <si>
    <t>veg stuffing</t>
  </si>
  <si>
    <t>Fry onion in meat juices</t>
  </si>
  <si>
    <t>Add flour and fry for a minute or two</t>
  </si>
  <si>
    <t>Peas</t>
  </si>
  <si>
    <t>out of oven</t>
  </si>
  <si>
    <t>Oven 1 on to 180</t>
  </si>
  <si>
    <t>oven 1</t>
  </si>
  <si>
    <t>oven 2</t>
  </si>
  <si>
    <t>Drain potatoes</t>
  </si>
  <si>
    <t>Shake potatoes, dust in flour and put in oil on hob</t>
  </si>
  <si>
    <t>Potatoes in to oven 1</t>
  </si>
  <si>
    <t>Turn potatoes</t>
  </si>
  <si>
    <t>Parsnips on to boil for 2 mins</t>
  </si>
  <si>
    <t>Drain parsnips</t>
  </si>
  <si>
    <t>Fry parsnips in oil on hob</t>
  </si>
  <si>
    <t>Toss carrots with 4 tbsp olive oil and put in oven</t>
  </si>
  <si>
    <t>Turn carrots</t>
  </si>
  <si>
    <t>Turn parsnips</t>
  </si>
  <si>
    <t>Add butter to carrots and turn</t>
  </si>
  <si>
    <t>Add sherry to gravy</t>
  </si>
  <si>
    <t>Add stock to gravy</t>
  </si>
  <si>
    <t>Add 50g butter and 2 tbsps honey to parsnips</t>
  </si>
  <si>
    <t>Potatoes out of oven</t>
  </si>
  <si>
    <t>Potatoes on to boil for 5 minutes</t>
  </si>
  <si>
    <t>Serving Time</t>
  </si>
  <si>
    <t>Turkey</t>
  </si>
  <si>
    <t>Carve Turkey</t>
  </si>
  <si>
    <t>Serve Turkey</t>
  </si>
  <si>
    <t>Minus</t>
  </si>
  <si>
    <t>Meat stuffing</t>
  </si>
  <si>
    <t>Balls in oven</t>
  </si>
  <si>
    <t>Serve balls</t>
  </si>
  <si>
    <t>Pigs in blankets</t>
  </si>
  <si>
    <t>Pigs in oven</t>
  </si>
  <si>
    <t>Serve pigs</t>
  </si>
  <si>
    <t>Make veg gravy</t>
  </si>
  <si>
    <t>Veggie pigs in oven</t>
  </si>
  <si>
    <t>Server</t>
  </si>
  <si>
    <t>Make bread</t>
  </si>
  <si>
    <t>Carve gravadlax</t>
  </si>
  <si>
    <t>Put gravadlax on plates with lamb's lettuce + hollandaise</t>
  </si>
  <si>
    <t>Bread on table for starter</t>
  </si>
  <si>
    <t>Vodka in freezer</t>
  </si>
  <si>
    <t>Serve vodka</t>
  </si>
  <si>
    <t>Shot glasses on table</t>
  </si>
  <si>
    <t>Starter</t>
  </si>
  <si>
    <t>Sprouts</t>
  </si>
  <si>
    <t>Serve</t>
  </si>
  <si>
    <t>Boil</t>
  </si>
  <si>
    <t>Hob</t>
  </si>
  <si>
    <t>Drain sprouts and serve</t>
  </si>
  <si>
    <t>Swede</t>
  </si>
  <si>
    <t>Boiling water on swede and on hob</t>
  </si>
  <si>
    <t>Drain swede and mash with butter</t>
  </si>
  <si>
    <t>Broad beans</t>
  </si>
  <si>
    <t>Peas out of microwave</t>
  </si>
  <si>
    <t>Broad beans in mirowave</t>
  </si>
  <si>
    <t>Serve broad beans</t>
  </si>
  <si>
    <t>Cranberry</t>
  </si>
  <si>
    <t>Mustard</t>
  </si>
  <si>
    <t>Pepper</t>
  </si>
  <si>
    <t>Cheese out of fridge</t>
  </si>
  <si>
    <t>n/a</t>
  </si>
  <si>
    <t>Table</t>
  </si>
  <si>
    <t>Cheese</t>
  </si>
  <si>
    <t>Prepare veggie pigs</t>
  </si>
  <si>
    <t>Salt</t>
  </si>
  <si>
    <t>Horse radish</t>
  </si>
  <si>
    <t>Rest Time</t>
  </si>
  <si>
    <t>Boiling water on sprouts and on hob</t>
  </si>
  <si>
    <t>Parsnips in oven 2</t>
  </si>
  <si>
    <t>Slice onion(s) for gravy</t>
  </si>
  <si>
    <t>Peel and cut parsnips and place in saucepan (in water)</t>
  </si>
  <si>
    <t>Select enough balls and place on tray with veg stuffing</t>
  </si>
  <si>
    <t>Select enough balls and place on tray with meat stuffing</t>
  </si>
  <si>
    <t>Peel and cut carrots and place in saucepan (in water)</t>
  </si>
  <si>
    <t>Peas in microwave for 10 minutes</t>
  </si>
  <si>
    <t>Put enough pigs in blankets onto a tray</t>
  </si>
  <si>
    <t>Peel and cut potatoes and place in saucepan</t>
  </si>
  <si>
    <t>Prepare the sprouts</t>
  </si>
  <si>
    <t>N/A</t>
  </si>
  <si>
    <t>Peel and chop swede and place in saucepan</t>
  </si>
  <si>
    <t>Meat 1</t>
  </si>
  <si>
    <t>Meat 2</t>
  </si>
  <si>
    <t>Roast Time</t>
  </si>
  <si>
    <t>Make some sausagement balls and put with meat stuffing</t>
  </si>
  <si>
    <t>Into oven 2</t>
  </si>
  <si>
    <t>Decant Port</t>
  </si>
  <si>
    <t>+/-</t>
  </si>
  <si>
    <t>+</t>
  </si>
  <si>
    <t>-</t>
  </si>
  <si>
    <t>oven 3</t>
  </si>
  <si>
    <t>Food warmers on</t>
  </si>
  <si>
    <t>Beef</t>
  </si>
  <si>
    <t>Beef out of fridge</t>
  </si>
  <si>
    <t>Beef into oven (on rack)</t>
  </si>
  <si>
    <t>Slice Beef and onto serving dish</t>
  </si>
  <si>
    <t>Sourdough</t>
  </si>
  <si>
    <t>bread machine</t>
  </si>
  <si>
    <t>Put ingredients into bread machine and set on french setting</t>
  </si>
  <si>
    <t>Remove foil from turkey, baste and return to oven</t>
  </si>
  <si>
    <t>Turkey out of larder into kitchen. Remove turkey from bag, put it and the juices in the foil tray and place on baking tray</t>
  </si>
  <si>
    <t>veg roast into oven</t>
  </si>
  <si>
    <t>Out of oven. Turn up to 180 (fan)</t>
  </si>
  <si>
    <t>Oven 2 onto 160 (fan)</t>
  </si>
  <si>
    <t>oven 3 on to 200</t>
  </si>
  <si>
    <t>Beef out of oven - turn down to 180 if necessary</t>
  </si>
  <si>
    <t>Prosecco in fridge</t>
  </si>
  <si>
    <t>Warm Plates</t>
  </si>
  <si>
    <t>Put butter under skin of turkey and put bacon across</t>
  </si>
  <si>
    <t>START MONITOR</t>
  </si>
  <si>
    <t>Stopped</t>
  </si>
  <si>
    <t>Plates out of oven</t>
  </si>
  <si>
    <t>Cell format for overdue items</t>
  </si>
  <si>
    <t>Text</t>
  </si>
  <si>
    <t>Cell format for completed items</t>
  </si>
  <si>
    <t>Refresh rate (in seconds)</t>
  </si>
  <si>
    <t>Reformat</t>
  </si>
  <si>
    <t>Clear</t>
  </si>
  <si>
    <t>Her flight should be coming in about now</t>
  </si>
  <si>
    <t>'Africa', by Toto</t>
  </si>
  <si>
    <t>Changes to this value won't take effect until the next time the timer 'ticks'. You can make it work immediately by stopping and restarting the timer</t>
  </si>
  <si>
    <t>Location</t>
  </si>
  <si>
    <t>If you change this format, you will need to rerun the Reformat routine for it to take effect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</si>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</sst>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00000000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2" fillId="0" borderId="0" xfId="1" applyFont="1" applyAlignment="1">
      <alignment horizontal="center" vertical="center"/>
    </xf>
    <xf numFmtId="0" fontId="0" fillId="0" borderId="0" xfId="0" applyAlignment="1">
      <alignment vertical="top"/>
    </xf>
    <xf numFmtId="2" fontId="0" fillId="0" borderId="0" xfId="0" applyNumberFormat="1" applyAlignment="1">
      <alignment vertical="top"/>
    </xf>
    <xf numFmtId="0" fontId="0" fillId="0" borderId="1" xfId="0" applyBorder="1"/>
    <xf numFmtId="164" fontId="4" fillId="3" borderId="2" xfId="0" applyNumberFormat="1" applyFont="1" applyFill="1" applyBorder="1" applyAlignment="1">
      <alignment horizontal="right"/>
    </xf>
    <xf numFmtId="20" fontId="0" fillId="0" borderId="0" xfId="0" applyNumberFormat="1"/>
    <xf numFmtId="165" fontId="0" fillId="0" borderId="0" xfId="0" applyNumberFormat="1"/>
    <xf numFmtId="0" fontId="5" fillId="0" borderId="0" xfId="0" applyFont="1"/>
    <xf numFmtId="164" fontId="0" fillId="4" borderId="2" xfId="0" applyNumberFormat="1" applyFill="1" applyBorder="1"/>
    <xf numFmtId="165" fontId="5" fillId="0" borderId="0" xfId="0" applyNumberFormat="1" applyFont="1"/>
    <xf numFmtId="21" fontId="0" fillId="0" borderId="0" xfId="0" applyNumberFormat="1" applyAlignment="1">
      <alignment horizontal="right"/>
    </xf>
    <xf numFmtId="2" fontId="0" fillId="0" borderId="0" xfId="0" applyNumberFormat="1"/>
    <xf numFmtId="1" fontId="0" fillId="0" borderId="0" xfId="0" applyNumberFormat="1"/>
    <xf numFmtId="164" fontId="0" fillId="0" borderId="1" xfId="0" applyNumberFormat="1" applyBorder="1"/>
    <xf numFmtId="0" fontId="5" fillId="5" borderId="0" xfId="0" applyFont="1" applyFill="1"/>
    <xf numFmtId="0" fontId="0" fillId="6" borderId="0" xfId="0" applyFill="1"/>
    <xf numFmtId="0" fontId="0" fillId="0" borderId="0" xfId="0" applyAlignment="1">
      <alignment horizontal="left" vertical="top" wrapText="1"/>
    </xf>
    <xf numFmtId="0" fontId="1" fillId="0" borderId="0" xfId="1" applyAlignment="1">
      <alignment horizontal="center" vertical="center"/>
    </xf>
    <xf numFmtId="0" fontId="3" fillId="2" borderId="5" xfId="0" applyFont="1" applyFill="1" applyBorder="1"/>
    <xf numFmtId="0" fontId="3" fillId="2" borderId="6" xfId="0" applyFont="1" applyFill="1" applyBorder="1"/>
    <xf numFmtId="164" fontId="3" fillId="2" borderId="7" xfId="0" applyNumberFormat="1" applyFont="1" applyFill="1" applyBorder="1"/>
    <xf numFmtId="0" fontId="3" fillId="2" borderId="7" xfId="0" applyFont="1" applyFill="1" applyBorder="1"/>
    <xf numFmtId="0" fontId="3" fillId="2" borderId="7" xfId="0" quotePrefix="1" applyFont="1" applyFill="1" applyBorder="1"/>
    <xf numFmtId="0" fontId="3" fillId="2" borderId="8" xfId="0" applyFont="1" applyFill="1" applyBorder="1"/>
    <xf numFmtId="18" fontId="5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0" fontId="4" fillId="2" borderId="3" xfId="0" applyFont="1" applyFill="1" applyBorder="1" applyAlignment="1">
      <alignment horizontal="right"/>
    </xf>
    <xf numFmtId="164" fontId="0" fillId="0" borderId="1" xfId="0" applyNumberFormat="1" applyBorder="1" applyProtection="1">
      <protection locked="0"/>
    </xf>
    <xf numFmtId="21" fontId="0" fillId="0" borderId="1" xfId="0" applyNumberFormat="1" applyBorder="1" applyProtection="1">
      <protection locked="0"/>
    </xf>
    <xf numFmtId="164" fontId="0" fillId="0" borderId="4" xfId="0" applyNumberForma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20" fontId="0" fillId="0" borderId="1" xfId="0" applyNumberFormat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92D050"/>
        </patternFill>
      </fill>
    </dxf>
    <dxf>
      <font>
        <b val="0"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3"/>
  <sheetViews>
    <sheetView tabSelected="1" zoomScaleNormal="100" workbookViewId="0">
      <pane ySplit="8" topLeftCell="A9" activePane="bottomLeft" state="frozen"/>
      <selection activeCell="F30" sqref="F30"/>
      <selection pane="bottomLeft" activeCell="H3" sqref="H3"/>
    </sheetView>
  </sheetViews>
  <sheetFormatPr defaultRowHeight="15" x14ac:dyDescent="0.25"/>
  <cols>
    <col min="1" max="1" width="4" bestFit="1" customWidth="1"/>
    <col min="2" max="2" width="52.28515625" style="35" bestFit="1" customWidth="1"/>
    <col min="3" max="3" width="9.85546875" style="35" bestFit="1" customWidth="1"/>
    <col min="4" max="4" width="10.7109375" style="1" bestFit="1" customWidth="1"/>
    <col min="5" max="5" width="15" style="35" bestFit="1" customWidth="1"/>
    <col min="6" max="6" width="15.140625" style="35" bestFit="1" customWidth="1"/>
    <col min="7" max="7" width="6.85546875" style="35" bestFit="1" customWidth="1"/>
    <col min="8" max="8" width="13.7109375" style="35" bestFit="1" customWidth="1"/>
    <col min="9" max="9" width="8.140625" bestFit="1" customWidth="1"/>
    <col min="10" max="10" width="13.5703125" style="35" bestFit="1" customWidth="1"/>
    <col min="11" max="11" width="3.42578125" style="9" customWidth="1"/>
    <col min="12" max="12" width="6.85546875" style="13" bestFit="1" customWidth="1"/>
    <col min="13" max="14" width="6.85546875" bestFit="1" customWidth="1"/>
    <col min="15" max="15" width="4.42578125" bestFit="1" customWidth="1"/>
    <col min="16" max="16" width="8.85546875" customWidth="1"/>
    <col min="17" max="17" width="1.5703125" customWidth="1"/>
    <col min="18" max="18" width="12.7109375" bestFit="1" customWidth="1"/>
    <col min="19" max="19" width="4.5703125" bestFit="1" customWidth="1"/>
  </cols>
  <sheetData>
    <row r="1" spans="1:16" x14ac:dyDescent="0.25">
      <c r="B1"/>
      <c r="C1"/>
      <c r="D1" s="1" t="s">
        <v>104</v>
      </c>
      <c r="E1" t="s">
        <v>88</v>
      </c>
      <c r="F1"/>
      <c r="G1"/>
      <c r="H1"/>
      <c r="J1"/>
    </row>
    <row r="2" spans="1:16" x14ac:dyDescent="0.25">
      <c r="B2" s="5" t="s">
        <v>102</v>
      </c>
      <c r="C2" s="5" t="s">
        <v>45</v>
      </c>
      <c r="D2" s="31">
        <v>0.1423611111111111</v>
      </c>
      <c r="E2" s="32">
        <v>2.4305555555555556E-2</v>
      </c>
      <c r="F2"/>
      <c r="G2"/>
      <c r="H2" s="19" t="s">
        <v>137</v>
      </c>
      <c r="J2"/>
    </row>
    <row r="3" spans="1:16" x14ac:dyDescent="0.25">
      <c r="B3" s="5" t="s">
        <v>103</v>
      </c>
      <c r="C3" s="5" t="s">
        <v>113</v>
      </c>
      <c r="D3" s="31">
        <v>1.3888888888888888E-2</v>
      </c>
      <c r="E3" s="32">
        <v>1.3888888888888888E-2</v>
      </c>
      <c r="F3"/>
      <c r="G3"/>
      <c r="H3" s="19" t="s">
        <v>138</v>
      </c>
      <c r="I3" s="12"/>
      <c r="J3"/>
    </row>
    <row r="4" spans="1:16" ht="15.75" thickBot="1" x14ac:dyDescent="0.3">
      <c r="B4" t="s">
        <v>44</v>
      </c>
      <c r="C4"/>
      <c r="D4" s="33">
        <v>0.60416666666666663</v>
      </c>
      <c r="E4"/>
      <c r="F4"/>
      <c r="G4"/>
      <c r="H4"/>
      <c r="J4"/>
    </row>
    <row r="5" spans="1:16" ht="31.9" customHeight="1" thickBot="1" x14ac:dyDescent="0.3">
      <c r="B5" s="2" t="s">
        <v>130</v>
      </c>
      <c r="C5" s="2"/>
      <c r="E5"/>
      <c r="F5"/>
      <c r="G5"/>
      <c r="H5"/>
      <c r="I5" s="7"/>
      <c r="J5"/>
      <c r="O5" s="7"/>
      <c r="P5" s="7"/>
    </row>
    <row r="6" spans="1:16" ht="16.5" thickBot="1" x14ac:dyDescent="0.3">
      <c r="B6" s="30" t="s">
        <v>0</v>
      </c>
      <c r="C6" s="30"/>
      <c r="D6" s="6" t="s">
        <v>131</v>
      </c>
      <c r="E6" s="10">
        <f ca="1">NOW()</f>
        <v>45272.985787268517</v>
      </c>
      <c r="F6" s="11">
        <f ca="1">TIME(HOUR(Time),MINUTE(Time),SECOND(Time))</f>
        <v>0.98578703703703707</v>
      </c>
      <c r="G6" s="8"/>
      <c r="H6"/>
      <c r="I6" s="7"/>
      <c r="J6"/>
      <c r="L6" s="13" t="s">
        <v>26</v>
      </c>
      <c r="M6" s="13" t="s">
        <v>27</v>
      </c>
      <c r="N6" s="13" t="s">
        <v>111</v>
      </c>
      <c r="O6" s="13" t="s">
        <v>14</v>
      </c>
      <c r="P6" s="7" t="s">
        <v>10</v>
      </c>
    </row>
    <row r="7" spans="1:16" ht="7.15" customHeight="1" thickBot="1" x14ac:dyDescent="0.3">
      <c r="B7" s="3"/>
      <c r="C7" s="3"/>
      <c r="D7" s="4"/>
      <c r="E7"/>
      <c r="F7"/>
      <c r="G7"/>
      <c r="H7"/>
      <c r="J7"/>
    </row>
    <row r="8" spans="1:16" ht="18.75" x14ac:dyDescent="0.3">
      <c r="B8" s="20" t="s">
        <v>1</v>
      </c>
      <c r="C8" s="21" t="s">
        <v>48</v>
      </c>
      <c r="D8" s="22" t="s">
        <v>2</v>
      </c>
      <c r="E8" s="23" t="s">
        <v>3</v>
      </c>
      <c r="F8" s="23" t="s">
        <v>142</v>
      </c>
      <c r="G8" s="24" t="s">
        <v>108</v>
      </c>
      <c r="H8" s="23" t="s">
        <v>4</v>
      </c>
      <c r="I8" s="23" t="s">
        <v>5</v>
      </c>
      <c r="J8" s="25" t="s">
        <v>6</v>
      </c>
    </row>
    <row r="9" spans="1:16" x14ac:dyDescent="0.25">
      <c r="A9">
        <v>99</v>
      </c>
      <c r="B9" s="34" t="s">
        <v>139</v>
      </c>
      <c r="C9" s="36">
        <v>0.3125</v>
      </c>
      <c r="D9" s="15">
        <f>Serve-C9</f>
        <v>0.29166666666666663</v>
      </c>
      <c r="E9" s="36" t="s">
        <v>140</v>
      </c>
      <c r="F9" s="34" t="s">
        <v>82</v>
      </c>
      <c r="G9" s="34"/>
      <c r="H9" s="34"/>
      <c r="I9" s="5" t="str">
        <f ca="1">IF(K9&lt;=now,"y","")</f>
        <v>y</v>
      </c>
      <c r="J9" s="34" t="s">
        <v>144</v>
      </c>
      <c r="K9" s="26">
        <f>TIME(HOUR(D9),MINUTE(D9),SECOND(D9))</f>
        <v>0.29166666666666669</v>
      </c>
      <c r="L9" s="14">
        <f>IF($F9=L$6, IF($G9="+",L8+1,IF($G9="-",L8-1,L8)),L8)</f>
        <v>0</v>
      </c>
      <c r="M9" s="14">
        <f>IF($F9=M$6, IF($G9="+",M8+1,IF($G9="-",M8-1,M8)),M8)</f>
        <v>0</v>
      </c>
      <c r="N9" s="14">
        <f>IF($F9=N$6, IF($G9="+",N8+1,IF($G9="-",N8-1,N8)),N8)</f>
        <v>0</v>
      </c>
      <c r="O9" s="14">
        <f>IF($F9=O$6, IF($G9="+",O8+1,IF($G9="-",O8-1,O8)),O8)</f>
        <v>0</v>
      </c>
      <c r="P9" s="14">
        <f>IF($F9=P$6, IF($G9="+",P8+1,IF($G9="-",P8-1,P8)),P8)</f>
        <v>0</v>
      </c>
    </row>
    <row r="10" spans="1:16" x14ac:dyDescent="0.25">
      <c r="A10">
        <v>1</v>
      </c>
      <c r="B10" s="34" t="s">
        <v>95</v>
      </c>
      <c r="C10" s="36">
        <v>0.27083333333333331</v>
      </c>
      <c r="D10" s="15">
        <f>Serve-C10</f>
        <v>0.33333333333333331</v>
      </c>
      <c r="E10" s="36" t="s">
        <v>19</v>
      </c>
      <c r="F10" s="34" t="s">
        <v>82</v>
      </c>
      <c r="G10" s="34"/>
      <c r="H10" s="34"/>
      <c r="I10" s="5" t="str">
        <f ca="1">IF(K10&lt;=now,"y","")</f>
        <v>y</v>
      </c>
      <c r="J10" s="34" t="s">
        <v>144</v>
      </c>
      <c r="K10" s="26">
        <f t="shared" ref="K10:K73" si="0">TIME(HOUR(D10),MINUTE(D10),SECOND(D10))</f>
        <v>0.33333333333333331</v>
      </c>
      <c r="L10" s="14">
        <f t="shared" ref="L10:L73" si="1">IF($F10=L$6, IF($G10="+",L9+1,IF($G10="-",L9-1,L9)),L9)</f>
        <v>0</v>
      </c>
      <c r="M10" s="14">
        <f t="shared" ref="M10:M73" si="2">IF($F10=M$6, IF($G10="+",M9+1,IF($G10="-",M9-1,M9)),M9)</f>
        <v>0</v>
      </c>
      <c r="N10" s="14">
        <f t="shared" ref="N10:N73" si="3">IF($F10=N$6, IF($G10="+",N9+1,IF($G10="-",N9-1,N9)),N9)</f>
        <v>0</v>
      </c>
      <c r="O10" s="14">
        <f t="shared" ref="O10:O73" si="4">IF($F10=O$6, IF($G10="+",O9+1,IF($G10="-",O9-1,O9)),O9)</f>
        <v>0</v>
      </c>
      <c r="P10" s="14">
        <f t="shared" ref="P10:P73" si="5">IF($F10=P$6, IF($G10="+",P9+1,IF($G10="-",P9-1,P9)),P9)</f>
        <v>0</v>
      </c>
    </row>
    <row r="11" spans="1:16" x14ac:dyDescent="0.25">
      <c r="A11">
        <v>2</v>
      </c>
      <c r="B11" s="34" t="s">
        <v>119</v>
      </c>
      <c r="C11" s="36">
        <v>0.27083333333333331</v>
      </c>
      <c r="D11" s="15">
        <f>Serve-C11</f>
        <v>0.33333333333333331</v>
      </c>
      <c r="E11" s="36" t="s">
        <v>117</v>
      </c>
      <c r="F11" s="34" t="s">
        <v>118</v>
      </c>
      <c r="G11" s="34"/>
      <c r="H11" s="34"/>
      <c r="I11" s="5" t="str">
        <f ca="1">IF(K11&lt;=now,"y","")</f>
        <v>y</v>
      </c>
      <c r="J11" s="34" t="s">
        <v>144</v>
      </c>
      <c r="K11" s="26">
        <f t="shared" si="0"/>
        <v>0.33333333333333331</v>
      </c>
      <c r="L11" s="14">
        <f t="shared" si="1"/>
        <v>0</v>
      </c>
      <c r="M11" s="14">
        <f t="shared" si="2"/>
        <v>0</v>
      </c>
      <c r="N11" s="14">
        <f t="shared" si="3"/>
        <v>0</v>
      </c>
      <c r="O11" s="14">
        <f t="shared" si="4"/>
        <v>0</v>
      </c>
      <c r="P11" s="14">
        <f t="shared" si="5"/>
        <v>0</v>
      </c>
    </row>
    <row r="12" spans="1:16" x14ac:dyDescent="0.25">
      <c r="A12">
        <v>3</v>
      </c>
      <c r="B12" s="34" t="s">
        <v>114</v>
      </c>
      <c r="C12" s="36">
        <v>0.27083333333333331</v>
      </c>
      <c r="D12" s="15">
        <f>Serve-C12</f>
        <v>0.33333333333333331</v>
      </c>
      <c r="E12" s="36" t="str">
        <f>Meat2</f>
        <v>Beef</v>
      </c>
      <c r="F12" s="34" t="s">
        <v>82</v>
      </c>
      <c r="G12" s="34"/>
      <c r="H12" s="34"/>
      <c r="I12" s="5" t="str">
        <f ca="1">IF(K12&lt;=now,"y","")</f>
        <v>y</v>
      </c>
      <c r="J12" s="34" t="s">
        <v>144</v>
      </c>
      <c r="K12" s="26">
        <f t="shared" si="0"/>
        <v>0.33333333333333331</v>
      </c>
      <c r="L12" s="14">
        <f t="shared" si="1"/>
        <v>0</v>
      </c>
      <c r="M12" s="14">
        <f t="shared" si="2"/>
        <v>0</v>
      </c>
      <c r="N12" s="14">
        <f t="shared" si="3"/>
        <v>0</v>
      </c>
      <c r="O12" s="14">
        <f t="shared" si="4"/>
        <v>0</v>
      </c>
      <c r="P12" s="14">
        <f t="shared" si="5"/>
        <v>0</v>
      </c>
    </row>
    <row r="13" spans="1:16" x14ac:dyDescent="0.25">
      <c r="A13">
        <v>4</v>
      </c>
      <c r="B13" s="34" t="s">
        <v>127</v>
      </c>
      <c r="C13" s="36">
        <v>0.27083333333333331</v>
      </c>
      <c r="D13" s="15">
        <f>Serve-C13</f>
        <v>0.33333333333333331</v>
      </c>
      <c r="E13" s="36" t="s">
        <v>82</v>
      </c>
      <c r="F13" s="34" t="s">
        <v>82</v>
      </c>
      <c r="G13" s="34"/>
      <c r="H13" s="34"/>
      <c r="I13" s="5" t="str">
        <f ca="1">IF(K13&lt;=now,"y","")</f>
        <v>y</v>
      </c>
      <c r="J13" s="34" t="s">
        <v>144</v>
      </c>
      <c r="K13" s="26">
        <f t="shared" si="0"/>
        <v>0.33333333333333331</v>
      </c>
      <c r="L13" s="14">
        <f t="shared" si="1"/>
        <v>0</v>
      </c>
      <c r="M13" s="14">
        <f t="shared" si="2"/>
        <v>0</v>
      </c>
      <c r="N13" s="14">
        <f t="shared" si="3"/>
        <v>0</v>
      </c>
      <c r="O13" s="14">
        <f t="shared" si="4"/>
        <v>0</v>
      </c>
      <c r="P13" s="14">
        <f t="shared" si="5"/>
        <v>0</v>
      </c>
    </row>
    <row r="14" spans="1:16" x14ac:dyDescent="0.25">
      <c r="A14">
        <v>5</v>
      </c>
      <c r="B14" s="34" t="s">
        <v>92</v>
      </c>
      <c r="C14" s="36">
        <v>0.27083333333333331</v>
      </c>
      <c r="D14" s="15">
        <f>Serve-C14</f>
        <v>0.33333333333333331</v>
      </c>
      <c r="E14" s="36" t="s">
        <v>18</v>
      </c>
      <c r="F14" s="34" t="s">
        <v>82</v>
      </c>
      <c r="G14" s="34"/>
      <c r="H14" s="34"/>
      <c r="I14" s="5" t="str">
        <f ca="1">IF(K14&lt;=now,"y","")</f>
        <v>y</v>
      </c>
      <c r="J14" s="34" t="s">
        <v>144</v>
      </c>
      <c r="K14" s="26">
        <f t="shared" si="0"/>
        <v>0.33333333333333331</v>
      </c>
      <c r="L14" s="14">
        <f t="shared" si="1"/>
        <v>0</v>
      </c>
      <c r="M14" s="14">
        <f t="shared" si="2"/>
        <v>0</v>
      </c>
      <c r="N14" s="14">
        <f t="shared" si="3"/>
        <v>0</v>
      </c>
      <c r="O14" s="14">
        <f t="shared" si="4"/>
        <v>0</v>
      </c>
      <c r="P14" s="14">
        <f t="shared" si="5"/>
        <v>0</v>
      </c>
    </row>
    <row r="15" spans="1:16" x14ac:dyDescent="0.25">
      <c r="A15">
        <v>6</v>
      </c>
      <c r="B15" s="34" t="s">
        <v>98</v>
      </c>
      <c r="C15" s="36">
        <v>0.27083333333333331</v>
      </c>
      <c r="D15" s="15">
        <f>Serve-C15</f>
        <v>0.33333333333333331</v>
      </c>
      <c r="E15" s="36" t="s">
        <v>17</v>
      </c>
      <c r="F15" s="34" t="s">
        <v>82</v>
      </c>
      <c r="G15" s="34"/>
      <c r="H15" s="34"/>
      <c r="I15" s="5" t="str">
        <f ca="1">IF(K15&lt;=now,"y","")</f>
        <v>y</v>
      </c>
      <c r="J15" s="34" t="s">
        <v>144</v>
      </c>
      <c r="K15" s="26">
        <f t="shared" si="0"/>
        <v>0.33333333333333331</v>
      </c>
      <c r="L15" s="14">
        <f t="shared" si="1"/>
        <v>0</v>
      </c>
      <c r="M15" s="14">
        <f t="shared" si="2"/>
        <v>0</v>
      </c>
      <c r="N15" s="14">
        <f t="shared" si="3"/>
        <v>0</v>
      </c>
      <c r="O15" s="14">
        <f t="shared" si="4"/>
        <v>0</v>
      </c>
      <c r="P15" s="14">
        <f t="shared" si="5"/>
        <v>0</v>
      </c>
    </row>
    <row r="16" spans="1:16" x14ac:dyDescent="0.25">
      <c r="A16">
        <v>7</v>
      </c>
      <c r="B16" s="34" t="s">
        <v>99</v>
      </c>
      <c r="C16" s="36">
        <v>0.27083333333333331</v>
      </c>
      <c r="D16" s="15">
        <f>Serve-C16</f>
        <v>0.33333333333333331</v>
      </c>
      <c r="E16" s="36" t="s">
        <v>66</v>
      </c>
      <c r="F16" s="34" t="s">
        <v>100</v>
      </c>
      <c r="G16" s="34"/>
      <c r="H16" s="34"/>
      <c r="I16" s="5" t="str">
        <f ca="1">IF(K16&lt;=now,"y","")</f>
        <v>y</v>
      </c>
      <c r="J16" s="34" t="s">
        <v>144</v>
      </c>
      <c r="K16" s="26">
        <f t="shared" si="0"/>
        <v>0.33333333333333331</v>
      </c>
      <c r="L16" s="14">
        <f t="shared" si="1"/>
        <v>0</v>
      </c>
      <c r="M16" s="14">
        <f t="shared" si="2"/>
        <v>0</v>
      </c>
      <c r="N16" s="14">
        <f t="shared" si="3"/>
        <v>0</v>
      </c>
      <c r="O16" s="14">
        <f t="shared" si="4"/>
        <v>0</v>
      </c>
      <c r="P16" s="14">
        <f t="shared" si="5"/>
        <v>0</v>
      </c>
    </row>
    <row r="17" spans="1:16" x14ac:dyDescent="0.25">
      <c r="A17">
        <v>8</v>
      </c>
      <c r="B17" s="34" t="s">
        <v>59</v>
      </c>
      <c r="C17" s="36">
        <v>0.27083333333333331</v>
      </c>
      <c r="D17" s="15">
        <f>Serve-C17</f>
        <v>0.33333333333333331</v>
      </c>
      <c r="E17" s="36" t="s">
        <v>65</v>
      </c>
      <c r="F17" s="34" t="s">
        <v>82</v>
      </c>
      <c r="G17" s="34"/>
      <c r="H17" s="34"/>
      <c r="I17" s="5" t="str">
        <f ca="1">IF(K17&lt;=now,"y","")</f>
        <v>y</v>
      </c>
      <c r="J17" s="34" t="s">
        <v>144</v>
      </c>
      <c r="K17" s="26">
        <f t="shared" si="0"/>
        <v>0.33333333333333331</v>
      </c>
      <c r="L17" s="14">
        <f t="shared" si="1"/>
        <v>0</v>
      </c>
      <c r="M17" s="14">
        <f t="shared" si="2"/>
        <v>0</v>
      </c>
      <c r="N17" s="14">
        <f t="shared" si="3"/>
        <v>0</v>
      </c>
      <c r="O17" s="14">
        <f t="shared" si="4"/>
        <v>0</v>
      </c>
      <c r="P17" s="14">
        <f t="shared" si="5"/>
        <v>0</v>
      </c>
    </row>
    <row r="18" spans="1:16" x14ac:dyDescent="0.25">
      <c r="A18">
        <v>9</v>
      </c>
      <c r="B18" s="34" t="s">
        <v>101</v>
      </c>
      <c r="C18" s="36">
        <v>0.27083333333333331</v>
      </c>
      <c r="D18" s="15">
        <f>Serve-C18</f>
        <v>0.33333333333333331</v>
      </c>
      <c r="E18" s="36" t="s">
        <v>71</v>
      </c>
      <c r="F18" s="34" t="s">
        <v>100</v>
      </c>
      <c r="G18" s="34"/>
      <c r="H18" s="34"/>
      <c r="I18" s="5" t="str">
        <f ca="1">IF(K18&lt;=now,"y","")</f>
        <v>y</v>
      </c>
      <c r="J18" s="34" t="s">
        <v>144</v>
      </c>
      <c r="K18" s="26">
        <f t="shared" si="0"/>
        <v>0.33333333333333331</v>
      </c>
      <c r="L18" s="14">
        <f t="shared" si="1"/>
        <v>0</v>
      </c>
      <c r="M18" s="14">
        <f t="shared" si="2"/>
        <v>0</v>
      </c>
      <c r="N18" s="14">
        <f t="shared" si="3"/>
        <v>0</v>
      </c>
      <c r="O18" s="14">
        <f t="shared" si="4"/>
        <v>0</v>
      </c>
      <c r="P18" s="14">
        <f t="shared" si="5"/>
        <v>0</v>
      </c>
    </row>
    <row r="19" spans="1:16" x14ac:dyDescent="0.25">
      <c r="A19">
        <v>10</v>
      </c>
      <c r="B19" s="34" t="s">
        <v>121</v>
      </c>
      <c r="C19" s="36">
        <v>0.27083333333333331</v>
      </c>
      <c r="D19" s="15">
        <f>Serve-C19</f>
        <v>0.33333333333333331</v>
      </c>
      <c r="E19" s="36" t="str">
        <f>Meat1</f>
        <v>Turkey</v>
      </c>
      <c r="F19" s="34" t="s">
        <v>82</v>
      </c>
      <c r="G19" s="34"/>
      <c r="H19" s="34"/>
      <c r="I19" s="5" t="str">
        <f ca="1">IF(K19&lt;=now,"y","")</f>
        <v>y</v>
      </c>
      <c r="J19" s="34" t="s">
        <v>144</v>
      </c>
      <c r="K19" s="26">
        <f t="shared" si="0"/>
        <v>0.33333333333333331</v>
      </c>
      <c r="L19" s="14">
        <f t="shared" si="1"/>
        <v>0</v>
      </c>
      <c r="M19" s="14">
        <f t="shared" si="2"/>
        <v>0</v>
      </c>
      <c r="N19" s="14">
        <f t="shared" si="3"/>
        <v>0</v>
      </c>
      <c r="O19" s="14">
        <f t="shared" si="4"/>
        <v>0</v>
      </c>
      <c r="P19" s="14">
        <f t="shared" si="5"/>
        <v>0</v>
      </c>
    </row>
    <row r="20" spans="1:16" x14ac:dyDescent="0.25">
      <c r="A20">
        <v>100</v>
      </c>
      <c r="B20" s="34" t="s">
        <v>107</v>
      </c>
      <c r="C20" s="36">
        <v>0.27083333333333331</v>
      </c>
      <c r="D20" s="15">
        <f>Serve-C20</f>
        <v>0.33333333333333331</v>
      </c>
      <c r="E20" s="36" t="s">
        <v>82</v>
      </c>
      <c r="F20" s="34" t="s">
        <v>82</v>
      </c>
      <c r="G20" s="34"/>
      <c r="H20" s="34"/>
      <c r="I20" s="5" t="str">
        <f ca="1">IF(K20&lt;=now,"y","")</f>
        <v>y</v>
      </c>
      <c r="J20" s="34" t="s">
        <v>144</v>
      </c>
      <c r="K20" s="26">
        <f t="shared" si="0"/>
        <v>0.33333333333333331</v>
      </c>
      <c r="L20" s="14">
        <f t="shared" si="1"/>
        <v>0</v>
      </c>
      <c r="M20" s="14">
        <f t="shared" si="2"/>
        <v>0</v>
      </c>
      <c r="N20" s="14">
        <f t="shared" si="3"/>
        <v>0</v>
      </c>
      <c r="O20" s="14">
        <f t="shared" si="4"/>
        <v>0</v>
      </c>
      <c r="P20" s="14">
        <f t="shared" si="5"/>
        <v>0</v>
      </c>
    </row>
    <row r="21" spans="1:16" x14ac:dyDescent="0.25">
      <c r="A21">
        <v>11</v>
      </c>
      <c r="B21" s="34" t="s">
        <v>129</v>
      </c>
      <c r="C21" s="36">
        <v>0.2673611111111111</v>
      </c>
      <c r="D21" s="15">
        <f>Serve-C21</f>
        <v>0.33680555555555552</v>
      </c>
      <c r="E21" s="36" t="str">
        <f>Meat1</f>
        <v>Turkey</v>
      </c>
      <c r="F21" s="34" t="s">
        <v>82</v>
      </c>
      <c r="G21" s="34"/>
      <c r="H21" s="34"/>
      <c r="I21" s="5" t="str">
        <f ca="1">IF(K21&lt;=now,"y","")</f>
        <v>y</v>
      </c>
      <c r="J21" s="34" t="s">
        <v>144</v>
      </c>
      <c r="K21" s="26">
        <f t="shared" si="0"/>
        <v>0.33680555555555558</v>
      </c>
      <c r="L21" s="14">
        <f t="shared" si="1"/>
        <v>0</v>
      </c>
      <c r="M21" s="14">
        <f t="shared" si="2"/>
        <v>0</v>
      </c>
      <c r="N21" s="14">
        <f t="shared" si="3"/>
        <v>0</v>
      </c>
      <c r="O21" s="14">
        <f t="shared" si="4"/>
        <v>0</v>
      </c>
      <c r="P21" s="14">
        <f t="shared" si="5"/>
        <v>0</v>
      </c>
    </row>
    <row r="22" spans="1:16" x14ac:dyDescent="0.25">
      <c r="A22">
        <v>12</v>
      </c>
      <c r="B22" s="34" t="s">
        <v>124</v>
      </c>
      <c r="C22" s="36">
        <f>Rest1+Roast1+"00:05"+"00:20"</f>
        <v>0.18402777777777776</v>
      </c>
      <c r="D22" s="15">
        <f>Serve-C22</f>
        <v>0.42013888888888884</v>
      </c>
      <c r="E22" s="36" t="str">
        <f>Meat1</f>
        <v>Turkey</v>
      </c>
      <c r="F22" s="34" t="s">
        <v>27</v>
      </c>
      <c r="G22" s="34"/>
      <c r="H22" s="34"/>
      <c r="I22" s="5" t="str">
        <f ca="1">IF(K22&lt;=now,"y","")</f>
        <v>y</v>
      </c>
      <c r="J22" s="34" t="s">
        <v>144</v>
      </c>
      <c r="K22" s="26">
        <f t="shared" si="0"/>
        <v>0.4201388888888889</v>
      </c>
      <c r="L22" s="14">
        <f t="shared" si="1"/>
        <v>0</v>
      </c>
      <c r="M22" s="14">
        <f t="shared" si="2"/>
        <v>0</v>
      </c>
      <c r="N22" s="14">
        <f t="shared" si="3"/>
        <v>0</v>
      </c>
      <c r="O22" s="14">
        <f t="shared" si="4"/>
        <v>0</v>
      </c>
      <c r="P22" s="14">
        <f t="shared" si="5"/>
        <v>0</v>
      </c>
    </row>
    <row r="23" spans="1:16" x14ac:dyDescent="0.25">
      <c r="A23">
        <v>13</v>
      </c>
      <c r="B23" s="34" t="s">
        <v>106</v>
      </c>
      <c r="C23" s="36">
        <f>Rest1+Roast1+"00:05"</f>
        <v>0.17013888888888887</v>
      </c>
      <c r="D23" s="15">
        <f>Serve-C23</f>
        <v>0.43402777777777779</v>
      </c>
      <c r="E23" s="36" t="str">
        <f>Meat1</f>
        <v>Turkey</v>
      </c>
      <c r="F23" s="34" t="s">
        <v>27</v>
      </c>
      <c r="G23" s="34" t="s">
        <v>109</v>
      </c>
      <c r="H23" s="34"/>
      <c r="I23" s="5" t="str">
        <f ca="1">IF(K23&lt;=now,"y","")</f>
        <v>y</v>
      </c>
      <c r="J23" s="34" t="s">
        <v>144</v>
      </c>
      <c r="K23" s="26">
        <f t="shared" si="0"/>
        <v>0.43402777777777773</v>
      </c>
      <c r="L23" s="14">
        <f t="shared" si="1"/>
        <v>0</v>
      </c>
      <c r="M23" s="14">
        <f t="shared" si="2"/>
        <v>1</v>
      </c>
      <c r="N23" s="14">
        <f t="shared" si="3"/>
        <v>0</v>
      </c>
      <c r="O23" s="14">
        <f t="shared" si="4"/>
        <v>0</v>
      </c>
      <c r="P23" s="14">
        <f t="shared" si="5"/>
        <v>0</v>
      </c>
    </row>
    <row r="24" spans="1:16" x14ac:dyDescent="0.25">
      <c r="A24">
        <v>17</v>
      </c>
      <c r="B24" s="34" t="s">
        <v>93</v>
      </c>
      <c r="C24" s="36">
        <v>0.10416666666666667</v>
      </c>
      <c r="D24" s="15">
        <f>Serve-C24</f>
        <v>0.49999999999999994</v>
      </c>
      <c r="E24" s="36" t="s">
        <v>49</v>
      </c>
      <c r="F24" s="34" t="s">
        <v>82</v>
      </c>
      <c r="G24" s="34"/>
      <c r="H24" s="34"/>
      <c r="I24" s="5" t="str">
        <f ca="1">IF(K24&lt;=now,"y","")</f>
        <v>y</v>
      </c>
      <c r="J24" s="34" t="s">
        <v>144</v>
      </c>
      <c r="K24" s="26">
        <f t="shared" si="0"/>
        <v>0.5</v>
      </c>
      <c r="L24" s="14">
        <f t="shared" si="1"/>
        <v>0</v>
      </c>
      <c r="M24" s="14">
        <f t="shared" si="2"/>
        <v>1</v>
      </c>
      <c r="N24" s="14">
        <f t="shared" si="3"/>
        <v>0</v>
      </c>
      <c r="O24" s="14">
        <f t="shared" si="4"/>
        <v>0</v>
      </c>
      <c r="P24" s="14">
        <f t="shared" si="5"/>
        <v>0</v>
      </c>
    </row>
    <row r="25" spans="1:16" x14ac:dyDescent="0.25">
      <c r="A25">
        <v>18</v>
      </c>
      <c r="B25" s="34" t="s">
        <v>105</v>
      </c>
      <c r="C25" s="36">
        <v>0.10416666666666667</v>
      </c>
      <c r="D25" s="15">
        <f>Serve-C25</f>
        <v>0.49999999999999994</v>
      </c>
      <c r="E25" s="36" t="s">
        <v>49</v>
      </c>
      <c r="F25" s="34" t="s">
        <v>82</v>
      </c>
      <c r="G25" s="34"/>
      <c r="H25" s="34"/>
      <c r="I25" s="5" t="str">
        <f ca="1">IF(K25&lt;=now,"y","")</f>
        <v>y</v>
      </c>
      <c r="J25" s="34" t="s">
        <v>144</v>
      </c>
      <c r="K25" s="26">
        <f t="shared" si="0"/>
        <v>0.5</v>
      </c>
      <c r="L25" s="14">
        <f t="shared" si="1"/>
        <v>0</v>
      </c>
      <c r="M25" s="14">
        <f t="shared" si="2"/>
        <v>1</v>
      </c>
      <c r="N25" s="14">
        <f t="shared" si="3"/>
        <v>0</v>
      </c>
      <c r="O25" s="14">
        <f t="shared" si="4"/>
        <v>0</v>
      </c>
      <c r="P25" s="14">
        <f t="shared" si="5"/>
        <v>0</v>
      </c>
    </row>
    <row r="26" spans="1:16" x14ac:dyDescent="0.25">
      <c r="A26">
        <v>19</v>
      </c>
      <c r="B26" s="34" t="s">
        <v>97</v>
      </c>
      <c r="C26" s="36">
        <v>0.10416666666666667</v>
      </c>
      <c r="D26" s="15">
        <f>Serve-C26</f>
        <v>0.49999999999999994</v>
      </c>
      <c r="E26" s="36" t="s">
        <v>52</v>
      </c>
      <c r="F26" s="34" t="s">
        <v>82</v>
      </c>
      <c r="G26" s="34"/>
      <c r="H26" s="34"/>
      <c r="I26" s="5" t="str">
        <f ca="1">IF(K26&lt;=now,"y","")</f>
        <v>y</v>
      </c>
      <c r="J26" s="34" t="s">
        <v>144</v>
      </c>
      <c r="K26" s="26">
        <f t="shared" si="0"/>
        <v>0.5</v>
      </c>
      <c r="L26" s="14">
        <f t="shared" si="1"/>
        <v>0</v>
      </c>
      <c r="M26" s="14">
        <f t="shared" si="2"/>
        <v>1</v>
      </c>
      <c r="N26" s="14">
        <f t="shared" si="3"/>
        <v>0</v>
      </c>
      <c r="O26" s="14">
        <f t="shared" si="4"/>
        <v>0</v>
      </c>
      <c r="P26" s="14">
        <f t="shared" si="5"/>
        <v>0</v>
      </c>
    </row>
    <row r="27" spans="1:16" x14ac:dyDescent="0.25">
      <c r="A27">
        <v>20</v>
      </c>
      <c r="B27" s="34" t="s">
        <v>94</v>
      </c>
      <c r="C27" s="36">
        <v>0.10416666666666667</v>
      </c>
      <c r="D27" s="15">
        <f>Serve-C27</f>
        <v>0.49999999999999994</v>
      </c>
      <c r="E27" s="36" t="s">
        <v>20</v>
      </c>
      <c r="F27" s="34" t="s">
        <v>82</v>
      </c>
      <c r="G27" s="34"/>
      <c r="H27" s="34"/>
      <c r="I27" s="5" t="str">
        <f ca="1">IF(K27&lt;=now,"y","")</f>
        <v>y</v>
      </c>
      <c r="J27" s="34" t="s">
        <v>144</v>
      </c>
      <c r="K27" s="26">
        <f t="shared" si="0"/>
        <v>0.5</v>
      </c>
      <c r="L27" s="14">
        <f t="shared" si="1"/>
        <v>0</v>
      </c>
      <c r="M27" s="14">
        <f t="shared" si="2"/>
        <v>1</v>
      </c>
      <c r="N27" s="14">
        <f t="shared" si="3"/>
        <v>0</v>
      </c>
      <c r="O27" s="14">
        <f t="shared" si="4"/>
        <v>0</v>
      </c>
      <c r="P27" s="14">
        <f t="shared" si="5"/>
        <v>0</v>
      </c>
    </row>
    <row r="28" spans="1:16" x14ac:dyDescent="0.25">
      <c r="A28">
        <v>21</v>
      </c>
      <c r="B28" s="34" t="s">
        <v>85</v>
      </c>
      <c r="C28" s="36">
        <v>0.10416666666666667</v>
      </c>
      <c r="D28" s="15">
        <f>Serve-C28</f>
        <v>0.49999999999999994</v>
      </c>
      <c r="E28" s="36" t="s">
        <v>15</v>
      </c>
      <c r="F28" s="34" t="s">
        <v>82</v>
      </c>
      <c r="G28" s="34"/>
      <c r="H28" s="34"/>
      <c r="I28" s="5" t="str">
        <f ca="1">IF(K28&lt;=now,"y","")</f>
        <v>y</v>
      </c>
      <c r="J28" s="34" t="s">
        <v>144</v>
      </c>
      <c r="K28" s="26">
        <f t="shared" si="0"/>
        <v>0.5</v>
      </c>
      <c r="L28" s="14">
        <f t="shared" si="1"/>
        <v>0</v>
      </c>
      <c r="M28" s="14">
        <f t="shared" si="2"/>
        <v>1</v>
      </c>
      <c r="N28" s="14">
        <f t="shared" si="3"/>
        <v>0</v>
      </c>
      <c r="O28" s="14">
        <f t="shared" si="4"/>
        <v>0</v>
      </c>
      <c r="P28" s="14">
        <f t="shared" si="5"/>
        <v>0</v>
      </c>
    </row>
    <row r="29" spans="1:16" x14ac:dyDescent="0.25">
      <c r="A29">
        <v>25</v>
      </c>
      <c r="B29" s="34" t="s">
        <v>43</v>
      </c>
      <c r="C29" s="36">
        <v>8.3333333333333329E-2</v>
      </c>
      <c r="D29" s="15">
        <f>Serve-C29</f>
        <v>0.52083333333333326</v>
      </c>
      <c r="E29" s="36" t="s">
        <v>17</v>
      </c>
      <c r="F29" s="34" t="s">
        <v>14</v>
      </c>
      <c r="G29" s="34" t="s">
        <v>109</v>
      </c>
      <c r="H29" s="34"/>
      <c r="I29" s="5" t="str">
        <f ca="1">IF(K29&lt;=now,"y","")</f>
        <v>y</v>
      </c>
      <c r="J29" s="34"/>
      <c r="K29" s="26">
        <f t="shared" si="0"/>
        <v>0.52083333333333337</v>
      </c>
      <c r="L29" s="14">
        <f t="shared" si="1"/>
        <v>0</v>
      </c>
      <c r="M29" s="14">
        <f t="shared" si="2"/>
        <v>1</v>
      </c>
      <c r="N29" s="14">
        <f t="shared" si="3"/>
        <v>0</v>
      </c>
      <c r="O29" s="14">
        <f t="shared" si="4"/>
        <v>1</v>
      </c>
      <c r="P29" s="14">
        <f t="shared" si="5"/>
        <v>0</v>
      </c>
    </row>
    <row r="30" spans="1:16" x14ac:dyDescent="0.25">
      <c r="A30">
        <v>26</v>
      </c>
      <c r="B30" s="34" t="s">
        <v>62</v>
      </c>
      <c r="C30" s="36">
        <v>8.3333333333333329E-2</v>
      </c>
      <c r="D30" s="15">
        <f>Serve-C30</f>
        <v>0.52083333333333326</v>
      </c>
      <c r="E30" s="36" t="s">
        <v>65</v>
      </c>
      <c r="F30" s="34" t="s">
        <v>82</v>
      </c>
      <c r="G30" s="34"/>
      <c r="H30" s="34"/>
      <c r="I30" s="5" t="str">
        <f ca="1">IF(K30&lt;=now,"y","")</f>
        <v>y</v>
      </c>
      <c r="J30" s="34"/>
      <c r="K30" s="26">
        <f t="shared" si="0"/>
        <v>0.52083333333333337</v>
      </c>
      <c r="L30" s="14">
        <f t="shared" si="1"/>
        <v>0</v>
      </c>
      <c r="M30" s="14">
        <f t="shared" si="2"/>
        <v>1</v>
      </c>
      <c r="N30" s="14">
        <f t="shared" si="3"/>
        <v>0</v>
      </c>
      <c r="O30" s="14">
        <f t="shared" si="4"/>
        <v>1</v>
      </c>
      <c r="P30" s="14">
        <f t="shared" si="5"/>
        <v>0</v>
      </c>
    </row>
    <row r="31" spans="1:16" x14ac:dyDescent="0.25">
      <c r="A31">
        <v>27</v>
      </c>
      <c r="B31" s="34" t="s">
        <v>64</v>
      </c>
      <c r="C31" s="36">
        <v>8.3333333333333329E-2</v>
      </c>
      <c r="D31" s="15">
        <f>Serve-C31</f>
        <v>0.52083333333333326</v>
      </c>
      <c r="E31" s="36" t="s">
        <v>65</v>
      </c>
      <c r="F31" s="34" t="s">
        <v>82</v>
      </c>
      <c r="G31" s="34"/>
      <c r="H31" s="34"/>
      <c r="I31" s="5" t="str">
        <f ca="1">IF(K31&lt;=now,"y","")</f>
        <v>y</v>
      </c>
      <c r="J31" s="34"/>
      <c r="K31" s="26">
        <f t="shared" si="0"/>
        <v>0.52083333333333337</v>
      </c>
      <c r="L31" s="14">
        <f t="shared" si="1"/>
        <v>0</v>
      </c>
      <c r="M31" s="14">
        <f t="shared" si="2"/>
        <v>1</v>
      </c>
      <c r="N31" s="14">
        <f t="shared" si="3"/>
        <v>0</v>
      </c>
      <c r="O31" s="14">
        <f t="shared" si="4"/>
        <v>1</v>
      </c>
      <c r="P31" s="14">
        <f t="shared" si="5"/>
        <v>0</v>
      </c>
    </row>
    <row r="32" spans="1:16" x14ac:dyDescent="0.25">
      <c r="A32">
        <v>24</v>
      </c>
      <c r="B32" s="34" t="s">
        <v>25</v>
      </c>
      <c r="C32" s="36">
        <v>6.5972222222222224E-2</v>
      </c>
      <c r="D32" s="15">
        <f>Serve-C32</f>
        <v>0.53819444444444442</v>
      </c>
      <c r="E32" s="36" t="s">
        <v>16</v>
      </c>
      <c r="F32" s="34" t="s">
        <v>26</v>
      </c>
      <c r="G32" s="34"/>
      <c r="H32" s="34"/>
      <c r="I32" s="5" t="str">
        <f ca="1">IF(K32&lt;=now,"y","")</f>
        <v>y</v>
      </c>
      <c r="J32" s="34"/>
      <c r="K32" s="26">
        <f t="shared" si="0"/>
        <v>0.53819444444444442</v>
      </c>
      <c r="L32" s="14">
        <f t="shared" si="1"/>
        <v>0</v>
      </c>
      <c r="M32" s="14">
        <f t="shared" si="2"/>
        <v>1</v>
      </c>
      <c r="N32" s="14">
        <f t="shared" si="3"/>
        <v>0</v>
      </c>
      <c r="O32" s="14">
        <f t="shared" si="4"/>
        <v>1</v>
      </c>
      <c r="P32" s="14">
        <f t="shared" si="5"/>
        <v>0</v>
      </c>
    </row>
    <row r="33" spans="1:16" x14ac:dyDescent="0.25">
      <c r="A33">
        <v>29</v>
      </c>
      <c r="B33" s="34" t="s">
        <v>28</v>
      </c>
      <c r="C33" s="36">
        <v>6.5972222222222224E-2</v>
      </c>
      <c r="D33" s="15">
        <f>Serve-C33</f>
        <v>0.53819444444444442</v>
      </c>
      <c r="E33" s="36" t="s">
        <v>17</v>
      </c>
      <c r="F33" s="34" t="s">
        <v>14</v>
      </c>
      <c r="G33" s="34" t="s">
        <v>110</v>
      </c>
      <c r="H33" s="34"/>
      <c r="I33" s="5" t="str">
        <f ca="1">IF(K33&lt;=now,"y","")</f>
        <v>y</v>
      </c>
      <c r="J33" s="34"/>
      <c r="K33" s="26">
        <f t="shared" si="0"/>
        <v>0.53819444444444442</v>
      </c>
      <c r="L33" s="14">
        <f t="shared" si="1"/>
        <v>0</v>
      </c>
      <c r="M33" s="14">
        <f t="shared" si="2"/>
        <v>1</v>
      </c>
      <c r="N33" s="14">
        <f t="shared" si="3"/>
        <v>0</v>
      </c>
      <c r="O33" s="14">
        <f t="shared" si="4"/>
        <v>0</v>
      </c>
      <c r="P33" s="14">
        <f t="shared" si="5"/>
        <v>0</v>
      </c>
    </row>
    <row r="34" spans="1:16" x14ac:dyDescent="0.25">
      <c r="A34">
        <v>30</v>
      </c>
      <c r="B34" s="34" t="s">
        <v>29</v>
      </c>
      <c r="C34" s="36">
        <v>6.25E-2</v>
      </c>
      <c r="D34" s="15">
        <f>Serve-C34</f>
        <v>0.54166666666666663</v>
      </c>
      <c r="E34" s="36" t="s">
        <v>17</v>
      </c>
      <c r="F34" s="34" t="s">
        <v>14</v>
      </c>
      <c r="G34" s="34" t="s">
        <v>109</v>
      </c>
      <c r="H34" s="34"/>
      <c r="I34" s="5" t="str">
        <f ca="1">IF(K34&lt;=now,"y","")</f>
        <v>y</v>
      </c>
      <c r="J34" s="34"/>
      <c r="K34" s="26">
        <f t="shared" si="0"/>
        <v>0.54166666666666663</v>
      </c>
      <c r="L34" s="14">
        <f t="shared" si="1"/>
        <v>0</v>
      </c>
      <c r="M34" s="14">
        <f t="shared" si="2"/>
        <v>1</v>
      </c>
      <c r="N34" s="14">
        <f t="shared" si="3"/>
        <v>0</v>
      </c>
      <c r="O34" s="14">
        <f t="shared" si="4"/>
        <v>1</v>
      </c>
      <c r="P34" s="14">
        <f t="shared" si="5"/>
        <v>0</v>
      </c>
    </row>
    <row r="35" spans="1:16" x14ac:dyDescent="0.25">
      <c r="A35">
        <v>33</v>
      </c>
      <c r="B35" s="34" t="s">
        <v>30</v>
      </c>
      <c r="C35" s="36">
        <v>5.2083333333333336E-2</v>
      </c>
      <c r="D35" s="15">
        <f>Serve-C35</f>
        <v>0.55208333333333326</v>
      </c>
      <c r="E35" s="36" t="s">
        <v>17</v>
      </c>
      <c r="F35" s="34" t="s">
        <v>26</v>
      </c>
      <c r="G35" s="34" t="s">
        <v>109</v>
      </c>
      <c r="H35" s="34"/>
      <c r="I35" s="5" t="str">
        <f ca="1">IF(K35&lt;=now,"y","")</f>
        <v>y</v>
      </c>
      <c r="J35" s="34"/>
      <c r="K35" s="26">
        <f t="shared" si="0"/>
        <v>0.55208333333333337</v>
      </c>
      <c r="L35" s="14">
        <f t="shared" si="1"/>
        <v>1</v>
      </c>
      <c r="M35" s="14">
        <f t="shared" si="2"/>
        <v>1</v>
      </c>
      <c r="N35" s="14">
        <f t="shared" si="3"/>
        <v>0</v>
      </c>
      <c r="O35" s="14">
        <f t="shared" si="4"/>
        <v>1</v>
      </c>
      <c r="P35" s="14">
        <f t="shared" si="5"/>
        <v>0</v>
      </c>
    </row>
    <row r="36" spans="1:16" x14ac:dyDescent="0.25">
      <c r="A36">
        <v>33</v>
      </c>
      <c r="B36" s="34"/>
      <c r="C36" s="36">
        <v>5.2083333333333336E-2</v>
      </c>
      <c r="D36" s="15">
        <f>Serve-C36</f>
        <v>0.55208333333333326</v>
      </c>
      <c r="E36" s="36" t="s">
        <v>17</v>
      </c>
      <c r="F36" s="34" t="s">
        <v>14</v>
      </c>
      <c r="G36" s="34" t="s">
        <v>110</v>
      </c>
      <c r="H36" s="34"/>
      <c r="I36" s="5" t="str">
        <f ca="1">IF(K36&lt;=now,"y","")</f>
        <v>y</v>
      </c>
      <c r="J36" s="34"/>
      <c r="K36" s="26">
        <f t="shared" si="0"/>
        <v>0.55208333333333337</v>
      </c>
      <c r="L36" s="14">
        <f t="shared" si="1"/>
        <v>1</v>
      </c>
      <c r="M36" s="14">
        <f t="shared" si="2"/>
        <v>1</v>
      </c>
      <c r="N36" s="14">
        <f t="shared" si="3"/>
        <v>0</v>
      </c>
      <c r="O36" s="14">
        <f t="shared" si="4"/>
        <v>0</v>
      </c>
      <c r="P36" s="14">
        <f t="shared" si="5"/>
        <v>0</v>
      </c>
    </row>
    <row r="37" spans="1:16" x14ac:dyDescent="0.25">
      <c r="A37">
        <v>16</v>
      </c>
      <c r="B37" s="34" t="s">
        <v>125</v>
      </c>
      <c r="C37" s="36">
        <f>Rest2+Roast2+"00:20"</f>
        <v>4.1666666666666664E-2</v>
      </c>
      <c r="D37" s="15">
        <f>Serve-C37</f>
        <v>0.5625</v>
      </c>
      <c r="E37" s="36" t="str">
        <f>Meat2</f>
        <v>Beef</v>
      </c>
      <c r="F37" s="34" t="s">
        <v>26</v>
      </c>
      <c r="G37" s="34"/>
      <c r="H37" s="34"/>
      <c r="I37" s="5" t="str">
        <f ca="1">IF(K37&lt;=now,"y","")</f>
        <v>y</v>
      </c>
      <c r="J37" s="34"/>
      <c r="K37" s="26">
        <f t="shared" si="0"/>
        <v>0.5625</v>
      </c>
      <c r="L37" s="14">
        <f t="shared" si="1"/>
        <v>1</v>
      </c>
      <c r="M37" s="14">
        <f t="shared" si="2"/>
        <v>1</v>
      </c>
      <c r="N37" s="14">
        <f t="shared" si="3"/>
        <v>0</v>
      </c>
      <c r="O37" s="14">
        <f t="shared" si="4"/>
        <v>0</v>
      </c>
      <c r="P37" s="14">
        <f t="shared" si="5"/>
        <v>0</v>
      </c>
    </row>
    <row r="38" spans="1:16" x14ac:dyDescent="0.25">
      <c r="A38">
        <v>34</v>
      </c>
      <c r="B38" s="34" t="s">
        <v>32</v>
      </c>
      <c r="C38" s="36">
        <v>4.1666666666666664E-2</v>
      </c>
      <c r="D38" s="15">
        <f>Serve-C38</f>
        <v>0.5625</v>
      </c>
      <c r="E38" s="36" t="s">
        <v>18</v>
      </c>
      <c r="F38" s="34" t="s">
        <v>14</v>
      </c>
      <c r="G38" s="34" t="s">
        <v>109</v>
      </c>
      <c r="H38" s="34"/>
      <c r="I38" s="5" t="str">
        <f ca="1">IF(K38&lt;=now,"y","")</f>
        <v>y</v>
      </c>
      <c r="J38" s="34"/>
      <c r="K38" s="26">
        <f t="shared" si="0"/>
        <v>0.5625</v>
      </c>
      <c r="L38" s="14">
        <f t="shared" si="1"/>
        <v>1</v>
      </c>
      <c r="M38" s="14">
        <f t="shared" si="2"/>
        <v>1</v>
      </c>
      <c r="N38" s="14">
        <f t="shared" si="3"/>
        <v>0</v>
      </c>
      <c r="O38" s="14">
        <f t="shared" si="4"/>
        <v>1</v>
      </c>
      <c r="P38" s="14">
        <f t="shared" si="5"/>
        <v>0</v>
      </c>
    </row>
    <row r="39" spans="1:16" x14ac:dyDescent="0.25">
      <c r="A39">
        <v>35</v>
      </c>
      <c r="B39" s="34" t="s">
        <v>31</v>
      </c>
      <c r="C39" s="36">
        <v>4.1666666666666664E-2</v>
      </c>
      <c r="D39" s="15">
        <f>Serve-C39</f>
        <v>0.5625</v>
      </c>
      <c r="E39" s="36" t="s">
        <v>17</v>
      </c>
      <c r="F39" s="34" t="s">
        <v>26</v>
      </c>
      <c r="G39" s="34"/>
      <c r="H39" s="34"/>
      <c r="I39" s="5" t="str">
        <f ca="1">IF(K39&lt;=now,"y","")</f>
        <v>y</v>
      </c>
      <c r="J39" s="34"/>
      <c r="K39" s="26">
        <f t="shared" si="0"/>
        <v>0.5625</v>
      </c>
      <c r="L39" s="14">
        <f t="shared" si="1"/>
        <v>1</v>
      </c>
      <c r="M39" s="14">
        <f t="shared" si="2"/>
        <v>1</v>
      </c>
      <c r="N39" s="14">
        <f t="shared" si="3"/>
        <v>0</v>
      </c>
      <c r="O39" s="14">
        <f t="shared" si="4"/>
        <v>1</v>
      </c>
      <c r="P39" s="14">
        <f t="shared" si="5"/>
        <v>0</v>
      </c>
    </row>
    <row r="40" spans="1:16" x14ac:dyDescent="0.25">
      <c r="A40">
        <v>36</v>
      </c>
      <c r="B40" s="34" t="s">
        <v>61</v>
      </c>
      <c r="C40" s="36">
        <v>4.1666666666666664E-2</v>
      </c>
      <c r="D40" s="15">
        <f>Serve-C40</f>
        <v>0.5625</v>
      </c>
      <c r="E40" s="36" t="s">
        <v>65</v>
      </c>
      <c r="F40" s="34" t="s">
        <v>82</v>
      </c>
      <c r="G40" s="34"/>
      <c r="H40" s="34"/>
      <c r="I40" s="5" t="str">
        <f ca="1">IF(K40&lt;=now,"y","")</f>
        <v>y</v>
      </c>
      <c r="J40" s="34"/>
      <c r="K40" s="26">
        <f t="shared" si="0"/>
        <v>0.5625</v>
      </c>
      <c r="L40" s="14">
        <f t="shared" si="1"/>
        <v>1</v>
      </c>
      <c r="M40" s="14">
        <f t="shared" si="2"/>
        <v>1</v>
      </c>
      <c r="N40" s="14">
        <f t="shared" si="3"/>
        <v>0</v>
      </c>
      <c r="O40" s="14">
        <f t="shared" si="4"/>
        <v>1</v>
      </c>
      <c r="P40" s="14">
        <f t="shared" si="5"/>
        <v>0</v>
      </c>
    </row>
    <row r="41" spans="1:16" x14ac:dyDescent="0.25">
      <c r="A41">
        <v>37</v>
      </c>
      <c r="B41" s="34" t="s">
        <v>78</v>
      </c>
      <c r="C41" s="36">
        <v>4.1666666666666664E-2</v>
      </c>
      <c r="D41" s="15">
        <f>Serve-C41</f>
        <v>0.5625</v>
      </c>
      <c r="E41" s="36" t="s">
        <v>83</v>
      </c>
      <c r="F41" s="34" t="s">
        <v>82</v>
      </c>
      <c r="G41" s="34"/>
      <c r="H41" s="34"/>
      <c r="I41" s="5" t="str">
        <f ca="1">IF(K41&lt;=now,"y","")</f>
        <v>y</v>
      </c>
      <c r="J41" s="34"/>
      <c r="K41" s="26">
        <f t="shared" si="0"/>
        <v>0.5625</v>
      </c>
      <c r="L41" s="14">
        <f t="shared" si="1"/>
        <v>1</v>
      </c>
      <c r="M41" s="14">
        <f t="shared" si="2"/>
        <v>1</v>
      </c>
      <c r="N41" s="14">
        <f t="shared" si="3"/>
        <v>0</v>
      </c>
      <c r="O41" s="14">
        <f t="shared" si="4"/>
        <v>1</v>
      </c>
      <c r="P41" s="14">
        <f t="shared" si="5"/>
        <v>0</v>
      </c>
    </row>
    <row r="42" spans="1:16" x14ac:dyDescent="0.25">
      <c r="A42">
        <v>38</v>
      </c>
      <c r="B42" s="34" t="s">
        <v>79</v>
      </c>
      <c r="C42" s="36">
        <v>4.1666666666666664E-2</v>
      </c>
      <c r="D42" s="15">
        <f>Serve-C42</f>
        <v>0.5625</v>
      </c>
      <c r="E42" s="36" t="s">
        <v>83</v>
      </c>
      <c r="F42" s="34" t="s">
        <v>82</v>
      </c>
      <c r="G42" s="34"/>
      <c r="H42" s="34"/>
      <c r="I42" s="5" t="str">
        <f ca="1">IF(K42&lt;=now,"y","")</f>
        <v>y</v>
      </c>
      <c r="J42" s="34"/>
      <c r="K42" s="26">
        <f t="shared" si="0"/>
        <v>0.5625</v>
      </c>
      <c r="L42" s="14">
        <f t="shared" si="1"/>
        <v>1</v>
      </c>
      <c r="M42" s="14">
        <f t="shared" si="2"/>
        <v>1</v>
      </c>
      <c r="N42" s="14">
        <f t="shared" si="3"/>
        <v>0</v>
      </c>
      <c r="O42" s="14">
        <f t="shared" si="4"/>
        <v>1</v>
      </c>
      <c r="P42" s="14">
        <f t="shared" si="5"/>
        <v>0</v>
      </c>
    </row>
    <row r="43" spans="1:16" x14ac:dyDescent="0.25">
      <c r="A43">
        <v>39</v>
      </c>
      <c r="B43" s="34" t="s">
        <v>86</v>
      </c>
      <c r="C43" s="36">
        <v>4.1666666666666664E-2</v>
      </c>
      <c r="D43" s="15">
        <f>Serve-C43</f>
        <v>0.5625</v>
      </c>
      <c r="E43" s="36" t="s">
        <v>83</v>
      </c>
      <c r="F43" s="34" t="s">
        <v>82</v>
      </c>
      <c r="G43" s="34"/>
      <c r="H43" s="34"/>
      <c r="I43" s="5" t="str">
        <f ca="1">IF(K43&lt;=now,"y","")</f>
        <v>y</v>
      </c>
      <c r="J43" s="34"/>
      <c r="K43" s="26">
        <f t="shared" si="0"/>
        <v>0.5625</v>
      </c>
      <c r="L43" s="14">
        <f t="shared" si="1"/>
        <v>1</v>
      </c>
      <c r="M43" s="14">
        <f t="shared" si="2"/>
        <v>1</v>
      </c>
      <c r="N43" s="14">
        <f t="shared" si="3"/>
        <v>0</v>
      </c>
      <c r="O43" s="14">
        <f t="shared" si="4"/>
        <v>1</v>
      </c>
      <c r="P43" s="14">
        <f t="shared" si="5"/>
        <v>0</v>
      </c>
    </row>
    <row r="44" spans="1:16" x14ac:dyDescent="0.25">
      <c r="A44">
        <v>40</v>
      </c>
      <c r="B44" s="34" t="s">
        <v>80</v>
      </c>
      <c r="C44" s="36">
        <v>4.1666666666666664E-2</v>
      </c>
      <c r="D44" s="15">
        <f>Serve-C44</f>
        <v>0.5625</v>
      </c>
      <c r="E44" s="36" t="s">
        <v>83</v>
      </c>
      <c r="F44" s="34" t="s">
        <v>82</v>
      </c>
      <c r="G44" s="34"/>
      <c r="H44" s="34"/>
      <c r="I44" s="5" t="str">
        <f ca="1">IF(K44&lt;=now,"y","")</f>
        <v>y</v>
      </c>
      <c r="J44" s="34"/>
      <c r="K44" s="26">
        <f t="shared" si="0"/>
        <v>0.5625</v>
      </c>
      <c r="L44" s="14">
        <f t="shared" si="1"/>
        <v>1</v>
      </c>
      <c r="M44" s="14">
        <f t="shared" si="2"/>
        <v>1</v>
      </c>
      <c r="N44" s="14">
        <f t="shared" si="3"/>
        <v>0</v>
      </c>
      <c r="O44" s="14">
        <f t="shared" si="4"/>
        <v>1</v>
      </c>
      <c r="P44" s="14">
        <f t="shared" si="5"/>
        <v>0</v>
      </c>
    </row>
    <row r="45" spans="1:16" x14ac:dyDescent="0.25">
      <c r="A45">
        <v>41</v>
      </c>
      <c r="B45" s="34" t="s">
        <v>87</v>
      </c>
      <c r="C45" s="36">
        <v>4.1666666666666664E-2</v>
      </c>
      <c r="D45" s="15">
        <f>Serve-C45</f>
        <v>0.5625</v>
      </c>
      <c r="E45" s="36" t="s">
        <v>83</v>
      </c>
      <c r="F45" s="34" t="s">
        <v>82</v>
      </c>
      <c r="G45" s="34"/>
      <c r="H45" s="34"/>
      <c r="I45" s="5" t="str">
        <f ca="1">IF(K45&lt;=now,"y","")</f>
        <v>y</v>
      </c>
      <c r="J45" s="34"/>
      <c r="K45" s="26">
        <f t="shared" si="0"/>
        <v>0.5625</v>
      </c>
      <c r="L45" s="14">
        <f t="shared" si="1"/>
        <v>1</v>
      </c>
      <c r="M45" s="14">
        <f t="shared" si="2"/>
        <v>1</v>
      </c>
      <c r="N45" s="14">
        <f t="shared" si="3"/>
        <v>0</v>
      </c>
      <c r="O45" s="14">
        <f t="shared" si="4"/>
        <v>1</v>
      </c>
      <c r="P45" s="14">
        <f t="shared" si="5"/>
        <v>0</v>
      </c>
    </row>
    <row r="46" spans="1:16" x14ac:dyDescent="0.25">
      <c r="A46">
        <v>42</v>
      </c>
      <c r="B46" s="34" t="s">
        <v>122</v>
      </c>
      <c r="C46" s="36">
        <v>4.1666666666666664E-2</v>
      </c>
      <c r="D46" s="15">
        <f>Serve-C46</f>
        <v>0.5625</v>
      </c>
      <c r="E46" s="36" t="s">
        <v>7</v>
      </c>
      <c r="F46" s="34" t="s">
        <v>27</v>
      </c>
      <c r="G46" s="34" t="s">
        <v>109</v>
      </c>
      <c r="H46" s="34"/>
      <c r="I46" s="5" t="str">
        <f ca="1">IF(K46&lt;=now,"y","")</f>
        <v>y</v>
      </c>
      <c r="J46" s="34"/>
      <c r="K46" s="26">
        <f t="shared" si="0"/>
        <v>0.5625</v>
      </c>
      <c r="L46" s="14">
        <f t="shared" si="1"/>
        <v>1</v>
      </c>
      <c r="M46" s="14">
        <f t="shared" si="2"/>
        <v>2</v>
      </c>
      <c r="N46" s="14">
        <f t="shared" si="3"/>
        <v>0</v>
      </c>
      <c r="O46" s="14">
        <f t="shared" si="4"/>
        <v>1</v>
      </c>
      <c r="P46" s="14">
        <f t="shared" si="5"/>
        <v>0</v>
      </c>
    </row>
    <row r="47" spans="1:16" x14ac:dyDescent="0.25">
      <c r="A47">
        <v>43</v>
      </c>
      <c r="B47" s="34" t="s">
        <v>33</v>
      </c>
      <c r="C47" s="36">
        <v>3.4722222222222224E-2</v>
      </c>
      <c r="D47" s="15">
        <f>Serve-C47</f>
        <v>0.56944444444444442</v>
      </c>
      <c r="E47" s="36" t="s">
        <v>18</v>
      </c>
      <c r="F47" s="34" t="s">
        <v>14</v>
      </c>
      <c r="G47" s="34" t="s">
        <v>110</v>
      </c>
      <c r="H47" s="34"/>
      <c r="I47" s="5" t="str">
        <f ca="1">IF(K47&lt;=now,"y","")</f>
        <v>y</v>
      </c>
      <c r="J47" s="34"/>
      <c r="K47" s="26">
        <f t="shared" si="0"/>
        <v>0.56944444444444442</v>
      </c>
      <c r="L47" s="14">
        <f t="shared" si="1"/>
        <v>1</v>
      </c>
      <c r="M47" s="14">
        <f t="shared" si="2"/>
        <v>2</v>
      </c>
      <c r="N47" s="14">
        <f t="shared" si="3"/>
        <v>0</v>
      </c>
      <c r="O47" s="14">
        <f t="shared" si="4"/>
        <v>0</v>
      </c>
      <c r="P47" s="14">
        <f t="shared" si="5"/>
        <v>0</v>
      </c>
    </row>
    <row r="48" spans="1:16" x14ac:dyDescent="0.25">
      <c r="A48">
        <v>31</v>
      </c>
      <c r="B48" s="34" t="s">
        <v>120</v>
      </c>
      <c r="C48" s="36">
        <f>Rest1+"00:15"</f>
        <v>3.4722222222222224E-2</v>
      </c>
      <c r="D48" s="15">
        <f>Serve-C48</f>
        <v>0.56944444444444442</v>
      </c>
      <c r="E48" s="36" t="str">
        <f>Meat1</f>
        <v>Turkey</v>
      </c>
      <c r="F48" s="34" t="s">
        <v>27</v>
      </c>
      <c r="G48" s="34"/>
      <c r="H48" s="34"/>
      <c r="I48" s="5" t="str">
        <f ca="1">IF(K48&lt;=now,"y","")</f>
        <v>y</v>
      </c>
      <c r="J48" s="34"/>
      <c r="K48" s="26">
        <f t="shared" si="0"/>
        <v>0.56944444444444442</v>
      </c>
      <c r="L48" s="14">
        <f t="shared" si="1"/>
        <v>1</v>
      </c>
      <c r="M48" s="14">
        <f t="shared" si="2"/>
        <v>2</v>
      </c>
      <c r="N48" s="14">
        <f t="shared" si="3"/>
        <v>0</v>
      </c>
      <c r="O48" s="14">
        <f t="shared" si="4"/>
        <v>0</v>
      </c>
      <c r="P48" s="14">
        <f t="shared" si="5"/>
        <v>0</v>
      </c>
    </row>
    <row r="49" spans="1:16" x14ac:dyDescent="0.25">
      <c r="A49">
        <v>44</v>
      </c>
      <c r="B49" s="34" t="s">
        <v>34</v>
      </c>
      <c r="C49" s="36">
        <v>3.3333333333333333E-2</v>
      </c>
      <c r="D49" s="15">
        <f>Serve-C49</f>
        <v>0.5708333333333333</v>
      </c>
      <c r="E49" s="36" t="s">
        <v>18</v>
      </c>
      <c r="F49" s="34" t="s">
        <v>14</v>
      </c>
      <c r="G49" s="34" t="s">
        <v>109</v>
      </c>
      <c r="H49" s="34"/>
      <c r="I49" s="5" t="str">
        <f ca="1">IF(K49&lt;=now,"y","")</f>
        <v>y</v>
      </c>
      <c r="J49" s="34"/>
      <c r="K49" s="26">
        <f t="shared" si="0"/>
        <v>0.5708333333333333</v>
      </c>
      <c r="L49" s="14">
        <f t="shared" si="1"/>
        <v>1</v>
      </c>
      <c r="M49" s="14">
        <f t="shared" si="2"/>
        <v>2</v>
      </c>
      <c r="N49" s="14">
        <f t="shared" si="3"/>
        <v>0</v>
      </c>
      <c r="O49" s="14">
        <f t="shared" si="4"/>
        <v>1</v>
      </c>
      <c r="P49" s="14">
        <f t="shared" si="5"/>
        <v>0</v>
      </c>
    </row>
    <row r="50" spans="1:16" x14ac:dyDescent="0.25">
      <c r="A50">
        <v>45</v>
      </c>
      <c r="B50" s="34" t="s">
        <v>91</v>
      </c>
      <c r="C50" s="36">
        <v>3.125E-2</v>
      </c>
      <c r="D50" s="15">
        <f>Serve-C50</f>
        <v>0.57291666666666663</v>
      </c>
      <c r="E50" s="36" t="s">
        <v>8</v>
      </c>
      <c r="F50" s="34" t="s">
        <v>82</v>
      </c>
      <c r="G50" s="34"/>
      <c r="H50" s="34"/>
      <c r="I50" s="5" t="str">
        <f ca="1">IF(K50&lt;=now,"y","")</f>
        <v>y</v>
      </c>
      <c r="J50" s="34"/>
      <c r="K50" s="26">
        <f t="shared" si="0"/>
        <v>0.57291666666666663</v>
      </c>
      <c r="L50" s="14">
        <f t="shared" si="1"/>
        <v>1</v>
      </c>
      <c r="M50" s="14">
        <f t="shared" si="2"/>
        <v>2</v>
      </c>
      <c r="N50" s="14">
        <f t="shared" si="3"/>
        <v>0</v>
      </c>
      <c r="O50" s="14">
        <f t="shared" si="4"/>
        <v>1</v>
      </c>
      <c r="P50" s="14">
        <f t="shared" si="5"/>
        <v>0</v>
      </c>
    </row>
    <row r="51" spans="1:16" x14ac:dyDescent="0.25">
      <c r="A51">
        <v>46</v>
      </c>
      <c r="B51" s="34" t="s">
        <v>112</v>
      </c>
      <c r="C51" s="36">
        <v>3.125E-2</v>
      </c>
      <c r="D51" s="15">
        <f>Serve-C51</f>
        <v>0.57291666666666663</v>
      </c>
      <c r="E51" s="36" t="s">
        <v>83</v>
      </c>
      <c r="F51" s="34" t="s">
        <v>82</v>
      </c>
      <c r="G51" s="34"/>
      <c r="H51" s="34"/>
      <c r="I51" s="5" t="str">
        <f ca="1">IF(K51&lt;=now,"y","")</f>
        <v>y</v>
      </c>
      <c r="J51" s="34"/>
      <c r="K51" s="26">
        <f t="shared" si="0"/>
        <v>0.57291666666666663</v>
      </c>
      <c r="L51" s="14">
        <f t="shared" si="1"/>
        <v>1</v>
      </c>
      <c r="M51" s="14">
        <f t="shared" si="2"/>
        <v>2</v>
      </c>
      <c r="N51" s="14">
        <f t="shared" si="3"/>
        <v>0</v>
      </c>
      <c r="O51" s="14">
        <f t="shared" si="4"/>
        <v>1</v>
      </c>
      <c r="P51" s="14">
        <f t="shared" si="5"/>
        <v>0</v>
      </c>
    </row>
    <row r="52" spans="1:16" x14ac:dyDescent="0.25">
      <c r="A52">
        <v>23</v>
      </c>
      <c r="B52" s="34" t="s">
        <v>115</v>
      </c>
      <c r="C52" s="36">
        <f>Rest2+Roast2</f>
        <v>2.7777777777777776E-2</v>
      </c>
      <c r="D52" s="15">
        <f>Serve-C52</f>
        <v>0.57638888888888884</v>
      </c>
      <c r="E52" s="36" t="str">
        <f>Meat2</f>
        <v>Beef</v>
      </c>
      <c r="F52" s="34" t="s">
        <v>26</v>
      </c>
      <c r="G52" s="34" t="s">
        <v>109</v>
      </c>
      <c r="H52" s="34"/>
      <c r="I52" s="5" t="str">
        <f ca="1">IF(K52&lt;=now,"y","")</f>
        <v>y</v>
      </c>
      <c r="J52" s="34"/>
      <c r="K52" s="26">
        <f t="shared" si="0"/>
        <v>0.57638888888888895</v>
      </c>
      <c r="L52" s="14">
        <f t="shared" si="1"/>
        <v>2</v>
      </c>
      <c r="M52" s="14">
        <f t="shared" si="2"/>
        <v>2</v>
      </c>
      <c r="N52" s="14">
        <f t="shared" si="3"/>
        <v>0</v>
      </c>
      <c r="O52" s="14">
        <f t="shared" si="4"/>
        <v>1</v>
      </c>
      <c r="P52" s="14">
        <f t="shared" si="5"/>
        <v>0</v>
      </c>
    </row>
    <row r="53" spans="1:16" x14ac:dyDescent="0.25">
      <c r="A53">
        <v>47</v>
      </c>
      <c r="B53" s="34" t="s">
        <v>35</v>
      </c>
      <c r="C53" s="36">
        <v>2.7777777777777776E-2</v>
      </c>
      <c r="D53" s="15">
        <f>Serve-C53</f>
        <v>0.57638888888888884</v>
      </c>
      <c r="E53" s="36" t="s">
        <v>19</v>
      </c>
      <c r="F53" s="34" t="s">
        <v>111</v>
      </c>
      <c r="G53" s="34" t="s">
        <v>109</v>
      </c>
      <c r="H53" s="34"/>
      <c r="I53" s="5" t="str">
        <f ca="1">IF(K53&lt;=now,"y","")</f>
        <v>y</v>
      </c>
      <c r="J53" s="34"/>
      <c r="K53" s="26">
        <f t="shared" si="0"/>
        <v>0.57638888888888895</v>
      </c>
      <c r="L53" s="14">
        <f t="shared" si="1"/>
        <v>2</v>
      </c>
      <c r="M53" s="14">
        <f t="shared" si="2"/>
        <v>2</v>
      </c>
      <c r="N53" s="14">
        <f t="shared" si="3"/>
        <v>1</v>
      </c>
      <c r="O53" s="14">
        <f t="shared" si="4"/>
        <v>1</v>
      </c>
      <c r="P53" s="14">
        <f t="shared" si="5"/>
        <v>0</v>
      </c>
    </row>
    <row r="54" spans="1:16" x14ac:dyDescent="0.25">
      <c r="A54">
        <v>48</v>
      </c>
      <c r="B54" s="34" t="s">
        <v>90</v>
      </c>
      <c r="C54" s="36">
        <v>2.7777777777777776E-2</v>
      </c>
      <c r="D54" s="15">
        <f>Serve-C54</f>
        <v>0.57638888888888884</v>
      </c>
      <c r="E54" s="36" t="s">
        <v>18</v>
      </c>
      <c r="F54" s="34" t="s">
        <v>111</v>
      </c>
      <c r="G54" s="34" t="s">
        <v>109</v>
      </c>
      <c r="H54" s="34"/>
      <c r="I54" s="5" t="str">
        <f ca="1">IF(K54&lt;=now,"y","")</f>
        <v>y</v>
      </c>
      <c r="J54" s="34"/>
      <c r="K54" s="26">
        <f t="shared" si="0"/>
        <v>0.57638888888888895</v>
      </c>
      <c r="L54" s="14">
        <f t="shared" si="1"/>
        <v>2</v>
      </c>
      <c r="M54" s="14">
        <f t="shared" si="2"/>
        <v>2</v>
      </c>
      <c r="N54" s="14">
        <f t="shared" si="3"/>
        <v>2</v>
      </c>
      <c r="O54" s="14">
        <f t="shared" si="4"/>
        <v>1</v>
      </c>
      <c r="P54" s="14">
        <f t="shared" si="5"/>
        <v>0</v>
      </c>
    </row>
    <row r="55" spans="1:16" x14ac:dyDescent="0.25">
      <c r="A55">
        <v>48</v>
      </c>
      <c r="B55" s="34"/>
      <c r="C55" s="36">
        <v>2.7777777777777776E-2</v>
      </c>
      <c r="D55" s="15">
        <f>Serve-C55</f>
        <v>0.57638888888888884</v>
      </c>
      <c r="E55" s="36" t="s">
        <v>18</v>
      </c>
      <c r="F55" s="34" t="s">
        <v>14</v>
      </c>
      <c r="G55" s="34" t="s">
        <v>110</v>
      </c>
      <c r="H55" s="34"/>
      <c r="I55" s="5" t="str">
        <f ca="1">IF(K55&lt;=now,"y","")</f>
        <v>y</v>
      </c>
      <c r="J55" s="34"/>
      <c r="K55" s="26">
        <f t="shared" si="0"/>
        <v>0.57638888888888895</v>
      </c>
      <c r="L55" s="14">
        <f t="shared" si="1"/>
        <v>2</v>
      </c>
      <c r="M55" s="14">
        <f t="shared" si="2"/>
        <v>2</v>
      </c>
      <c r="N55" s="14">
        <f t="shared" si="3"/>
        <v>2</v>
      </c>
      <c r="O55" s="14">
        <f t="shared" si="4"/>
        <v>0</v>
      </c>
      <c r="P55" s="14">
        <f t="shared" si="5"/>
        <v>0</v>
      </c>
    </row>
    <row r="56" spans="1:16" x14ac:dyDescent="0.25">
      <c r="A56">
        <v>49</v>
      </c>
      <c r="B56" s="34" t="s">
        <v>31</v>
      </c>
      <c r="C56" s="36">
        <v>2.7777777777777776E-2</v>
      </c>
      <c r="D56" s="15">
        <f>Serve-C56</f>
        <v>0.57638888888888884</v>
      </c>
      <c r="E56" s="36" t="s">
        <v>17</v>
      </c>
      <c r="F56" s="34" t="s">
        <v>26</v>
      </c>
      <c r="G56" s="34"/>
      <c r="H56" s="34"/>
      <c r="I56" s="5" t="str">
        <f ca="1">IF(K56&lt;=now,"y","")</f>
        <v>y</v>
      </c>
      <c r="J56" s="34"/>
      <c r="K56" s="26">
        <f t="shared" si="0"/>
        <v>0.57638888888888895</v>
      </c>
      <c r="L56" s="14">
        <f t="shared" si="1"/>
        <v>2</v>
      </c>
      <c r="M56" s="14">
        <f t="shared" si="2"/>
        <v>2</v>
      </c>
      <c r="N56" s="14">
        <f t="shared" si="3"/>
        <v>2</v>
      </c>
      <c r="O56" s="14">
        <f t="shared" si="4"/>
        <v>0</v>
      </c>
      <c r="P56" s="14">
        <f t="shared" si="5"/>
        <v>0</v>
      </c>
    </row>
    <row r="57" spans="1:16" x14ac:dyDescent="0.25">
      <c r="A57">
        <v>50</v>
      </c>
      <c r="B57" s="34" t="s">
        <v>72</v>
      </c>
      <c r="C57" s="36">
        <v>2.7777777777777776E-2</v>
      </c>
      <c r="D57" s="15">
        <f>Serve-C57</f>
        <v>0.57638888888888884</v>
      </c>
      <c r="E57" s="36" t="s">
        <v>71</v>
      </c>
      <c r="F57" s="34" t="s">
        <v>14</v>
      </c>
      <c r="G57" s="34" t="s">
        <v>109</v>
      </c>
      <c r="H57" s="34"/>
      <c r="I57" s="5" t="str">
        <f ca="1">IF(K57&lt;=now,"y","")</f>
        <v>y</v>
      </c>
      <c r="J57" s="34"/>
      <c r="K57" s="26">
        <f t="shared" si="0"/>
        <v>0.57638888888888895</v>
      </c>
      <c r="L57" s="14">
        <f t="shared" si="1"/>
        <v>2</v>
      </c>
      <c r="M57" s="14">
        <f t="shared" si="2"/>
        <v>2</v>
      </c>
      <c r="N57" s="14">
        <f t="shared" si="3"/>
        <v>2</v>
      </c>
      <c r="O57" s="14">
        <f t="shared" si="4"/>
        <v>1</v>
      </c>
      <c r="P57" s="14">
        <f t="shared" si="5"/>
        <v>0</v>
      </c>
    </row>
    <row r="58" spans="1:16" x14ac:dyDescent="0.25">
      <c r="A58">
        <v>52</v>
      </c>
      <c r="B58" s="34" t="s">
        <v>123</v>
      </c>
      <c r="C58" s="36">
        <f>Rest1+"00:05"</f>
        <v>2.7777777777777776E-2</v>
      </c>
      <c r="D58" s="15">
        <f>Serve-C58</f>
        <v>0.57638888888888884</v>
      </c>
      <c r="E58" s="36" t="str">
        <f>Meat1</f>
        <v>Turkey</v>
      </c>
      <c r="F58" s="34" t="s">
        <v>27</v>
      </c>
      <c r="G58" s="34" t="s">
        <v>110</v>
      </c>
      <c r="H58" s="34"/>
      <c r="I58" s="5" t="str">
        <f ca="1">IF(K58&lt;=now,"y","")</f>
        <v>y</v>
      </c>
      <c r="J58" s="34"/>
      <c r="K58" s="26">
        <f t="shared" si="0"/>
        <v>0.57638888888888895</v>
      </c>
      <c r="L58" s="14">
        <f t="shared" si="1"/>
        <v>2</v>
      </c>
      <c r="M58" s="14">
        <f t="shared" si="2"/>
        <v>1</v>
      </c>
      <c r="N58" s="14">
        <f t="shared" si="3"/>
        <v>2</v>
      </c>
      <c r="O58" s="14">
        <f t="shared" si="4"/>
        <v>1</v>
      </c>
      <c r="P58" s="14">
        <f t="shared" si="5"/>
        <v>0</v>
      </c>
    </row>
    <row r="59" spans="1:16" x14ac:dyDescent="0.25">
      <c r="A59">
        <v>53</v>
      </c>
      <c r="B59" s="34" t="s">
        <v>36</v>
      </c>
      <c r="C59" s="36">
        <v>2.0833333333333332E-2</v>
      </c>
      <c r="D59" s="15">
        <f>Serve-C59</f>
        <v>0.58333333333333326</v>
      </c>
      <c r="E59" s="36" t="s">
        <v>19</v>
      </c>
      <c r="F59" s="34" t="s">
        <v>111</v>
      </c>
      <c r="G59" s="34"/>
      <c r="H59" s="34"/>
      <c r="I59" s="5" t="str">
        <f ca="1">IF(K59&lt;=now,"y","")</f>
        <v>y</v>
      </c>
      <c r="J59" s="34"/>
      <c r="K59" s="26">
        <f t="shared" si="0"/>
        <v>0.58333333333333337</v>
      </c>
      <c r="L59" s="14">
        <f t="shared" si="1"/>
        <v>2</v>
      </c>
      <c r="M59" s="14">
        <f t="shared" si="2"/>
        <v>1</v>
      </c>
      <c r="N59" s="14">
        <f t="shared" si="3"/>
        <v>2</v>
      </c>
      <c r="O59" s="14">
        <f t="shared" si="4"/>
        <v>1</v>
      </c>
      <c r="P59" s="14">
        <f t="shared" si="5"/>
        <v>0</v>
      </c>
    </row>
    <row r="60" spans="1:16" x14ac:dyDescent="0.25">
      <c r="A60">
        <v>55</v>
      </c>
      <c r="B60" s="34" t="s">
        <v>50</v>
      </c>
      <c r="C60" s="36">
        <v>2.0833333333333332E-2</v>
      </c>
      <c r="D60" s="15">
        <f>Serve-C60</f>
        <v>0.58333333333333326</v>
      </c>
      <c r="E60" s="36" t="s">
        <v>49</v>
      </c>
      <c r="F60" s="34" t="s">
        <v>27</v>
      </c>
      <c r="G60" s="34" t="s">
        <v>109</v>
      </c>
      <c r="H60" s="34"/>
      <c r="I60" s="5" t="str">
        <f ca="1">IF(K60&lt;=now,"y","")</f>
        <v>y</v>
      </c>
      <c r="J60" s="34"/>
      <c r="K60" s="26">
        <f t="shared" si="0"/>
        <v>0.58333333333333337</v>
      </c>
      <c r="L60" s="14">
        <f t="shared" si="1"/>
        <v>2</v>
      </c>
      <c r="M60" s="14">
        <f t="shared" si="2"/>
        <v>2</v>
      </c>
      <c r="N60" s="14">
        <f t="shared" si="3"/>
        <v>2</v>
      </c>
      <c r="O60" s="14">
        <f t="shared" si="4"/>
        <v>1</v>
      </c>
      <c r="P60" s="14">
        <f t="shared" si="5"/>
        <v>0</v>
      </c>
    </row>
    <row r="61" spans="1:16" x14ac:dyDescent="0.25">
      <c r="A61">
        <v>56</v>
      </c>
      <c r="B61" s="34" t="s">
        <v>37</v>
      </c>
      <c r="C61" s="36">
        <v>2.0833333333333332E-2</v>
      </c>
      <c r="D61" s="15">
        <f>Serve-C61</f>
        <v>0.58333333333333326</v>
      </c>
      <c r="E61" s="36" t="s">
        <v>18</v>
      </c>
      <c r="F61" s="34" t="s">
        <v>111</v>
      </c>
      <c r="G61" s="34"/>
      <c r="H61" s="34"/>
      <c r="I61" s="5" t="str">
        <f ca="1">IF(K61&lt;=now,"y","")</f>
        <v>y</v>
      </c>
      <c r="J61" s="34"/>
      <c r="K61" s="26">
        <f t="shared" si="0"/>
        <v>0.58333333333333337</v>
      </c>
      <c r="L61" s="14">
        <f t="shared" si="1"/>
        <v>2</v>
      </c>
      <c r="M61" s="14">
        <f t="shared" si="2"/>
        <v>2</v>
      </c>
      <c r="N61" s="14">
        <f t="shared" si="3"/>
        <v>2</v>
      </c>
      <c r="O61" s="14">
        <f t="shared" si="4"/>
        <v>1</v>
      </c>
      <c r="P61" s="14">
        <f t="shared" si="5"/>
        <v>0</v>
      </c>
    </row>
    <row r="62" spans="1:16" x14ac:dyDescent="0.25">
      <c r="A62">
        <v>57</v>
      </c>
      <c r="B62" s="34" t="s">
        <v>68</v>
      </c>
      <c r="C62" s="36">
        <v>2.0833333333333332E-2</v>
      </c>
      <c r="D62" s="15">
        <f>Serve-C62</f>
        <v>0.58333333333333326</v>
      </c>
      <c r="E62" s="36" t="s">
        <v>71</v>
      </c>
      <c r="F62" s="34" t="s">
        <v>14</v>
      </c>
      <c r="G62" s="34"/>
      <c r="H62" s="34"/>
      <c r="I62" s="5" t="str">
        <f ca="1">IF(K62&lt;=now,"y","")</f>
        <v>y</v>
      </c>
      <c r="J62" s="34"/>
      <c r="K62" s="26">
        <f t="shared" si="0"/>
        <v>0.58333333333333337</v>
      </c>
      <c r="L62" s="14">
        <f t="shared" si="1"/>
        <v>2</v>
      </c>
      <c r="M62" s="14">
        <f t="shared" si="2"/>
        <v>2</v>
      </c>
      <c r="N62" s="14">
        <f t="shared" si="3"/>
        <v>2</v>
      </c>
      <c r="O62" s="14">
        <f t="shared" si="4"/>
        <v>1</v>
      </c>
      <c r="P62" s="14">
        <f t="shared" si="5"/>
        <v>0</v>
      </c>
    </row>
    <row r="63" spans="1:16" x14ac:dyDescent="0.25">
      <c r="A63">
        <v>58</v>
      </c>
      <c r="B63" s="34" t="s">
        <v>50</v>
      </c>
      <c r="C63" s="36">
        <v>2.0833333333333332E-2</v>
      </c>
      <c r="D63" s="15">
        <f>Serve-C63</f>
        <v>0.58333333333333326</v>
      </c>
      <c r="E63" s="36" t="s">
        <v>20</v>
      </c>
      <c r="F63" s="34" t="s">
        <v>27</v>
      </c>
      <c r="G63" s="34" t="s">
        <v>109</v>
      </c>
      <c r="H63" s="34"/>
      <c r="I63" s="5" t="str">
        <f ca="1">IF(K63&lt;=now,"y","")</f>
        <v>y</v>
      </c>
      <c r="J63" s="34"/>
      <c r="K63" s="26">
        <f t="shared" si="0"/>
        <v>0.58333333333333337</v>
      </c>
      <c r="L63" s="14">
        <f t="shared" si="1"/>
        <v>2</v>
      </c>
      <c r="M63" s="14">
        <f t="shared" si="2"/>
        <v>3</v>
      </c>
      <c r="N63" s="14">
        <f t="shared" si="3"/>
        <v>2</v>
      </c>
      <c r="O63" s="14">
        <f t="shared" si="4"/>
        <v>1</v>
      </c>
      <c r="P63" s="14">
        <f t="shared" si="5"/>
        <v>0</v>
      </c>
    </row>
    <row r="64" spans="1:16" x14ac:dyDescent="0.25">
      <c r="A64">
        <v>59</v>
      </c>
      <c r="B64" s="34" t="s">
        <v>21</v>
      </c>
      <c r="C64" s="36">
        <v>1.7361111111111112E-2</v>
      </c>
      <c r="D64" s="15">
        <f>Serve-C64</f>
        <v>0.58680555555555547</v>
      </c>
      <c r="E64" s="36" t="s">
        <v>8</v>
      </c>
      <c r="F64" s="34" t="s">
        <v>14</v>
      </c>
      <c r="G64" s="34" t="s">
        <v>109</v>
      </c>
      <c r="H64" s="34"/>
      <c r="I64" s="5" t="str">
        <f ca="1">IF(K64&lt;=now,"y","")</f>
        <v>y</v>
      </c>
      <c r="J64" s="34"/>
      <c r="K64" s="26">
        <f t="shared" si="0"/>
        <v>0.58680555555555558</v>
      </c>
      <c r="L64" s="14">
        <f t="shared" si="1"/>
        <v>2</v>
      </c>
      <c r="M64" s="14">
        <f t="shared" si="2"/>
        <v>3</v>
      </c>
      <c r="N64" s="14">
        <f t="shared" si="3"/>
        <v>2</v>
      </c>
      <c r="O64" s="14">
        <f t="shared" si="4"/>
        <v>2</v>
      </c>
      <c r="P64" s="14">
        <f t="shared" si="5"/>
        <v>0</v>
      </c>
    </row>
    <row r="65" spans="1:16" x14ac:dyDescent="0.25">
      <c r="A65">
        <v>60</v>
      </c>
      <c r="B65" s="34" t="s">
        <v>53</v>
      </c>
      <c r="C65" s="36">
        <v>1.7361111111111112E-2</v>
      </c>
      <c r="D65" s="15">
        <f>Serve-C65</f>
        <v>0.58680555555555547</v>
      </c>
      <c r="E65" s="36" t="s">
        <v>52</v>
      </c>
      <c r="F65" s="34" t="s">
        <v>27</v>
      </c>
      <c r="G65" s="34" t="s">
        <v>109</v>
      </c>
      <c r="H65" s="34"/>
      <c r="I65" s="5" t="str">
        <f ca="1">IF(K65&lt;=now,"y","")</f>
        <v>y</v>
      </c>
      <c r="J65" s="34"/>
      <c r="K65" s="26">
        <f t="shared" si="0"/>
        <v>0.58680555555555558</v>
      </c>
      <c r="L65" s="14">
        <f t="shared" si="1"/>
        <v>2</v>
      </c>
      <c r="M65" s="14">
        <f t="shared" si="2"/>
        <v>4</v>
      </c>
      <c r="N65" s="14">
        <f t="shared" si="3"/>
        <v>2</v>
      </c>
      <c r="O65" s="14">
        <f t="shared" si="4"/>
        <v>2</v>
      </c>
      <c r="P65" s="14">
        <f t="shared" si="5"/>
        <v>0</v>
      </c>
    </row>
    <row r="66" spans="1:16" x14ac:dyDescent="0.25">
      <c r="A66">
        <v>61</v>
      </c>
      <c r="B66" s="34" t="s">
        <v>60</v>
      </c>
      <c r="C66" s="36">
        <v>1.7361111111111112E-2</v>
      </c>
      <c r="D66" s="15">
        <f>Serve-C66</f>
        <v>0.58680555555555547</v>
      </c>
      <c r="E66" s="36" t="s">
        <v>65</v>
      </c>
      <c r="F66" s="34" t="s">
        <v>82</v>
      </c>
      <c r="G66" s="34"/>
      <c r="H66" s="34"/>
      <c r="I66" s="5" t="str">
        <f ca="1">IF(K66&lt;=now,"y","")</f>
        <v>y</v>
      </c>
      <c r="J66" s="34"/>
      <c r="K66" s="26">
        <f t="shared" si="0"/>
        <v>0.58680555555555558</v>
      </c>
      <c r="L66" s="14">
        <f t="shared" si="1"/>
        <v>2</v>
      </c>
      <c r="M66" s="14">
        <f t="shared" si="2"/>
        <v>4</v>
      </c>
      <c r="N66" s="14">
        <f t="shared" si="3"/>
        <v>2</v>
      </c>
      <c r="O66" s="14">
        <f t="shared" si="4"/>
        <v>2</v>
      </c>
      <c r="P66" s="14">
        <f t="shared" si="5"/>
        <v>0</v>
      </c>
    </row>
    <row r="67" spans="1:16" x14ac:dyDescent="0.25">
      <c r="A67">
        <v>54</v>
      </c>
      <c r="B67" s="34" t="s">
        <v>126</v>
      </c>
      <c r="C67" s="36">
        <f>Rest2</f>
        <v>1.3888888888888888E-2</v>
      </c>
      <c r="D67" s="15">
        <f>Serve-C67</f>
        <v>0.59027777777777779</v>
      </c>
      <c r="E67" s="36" t="str">
        <f>Meat2</f>
        <v>Beef</v>
      </c>
      <c r="F67" s="34" t="s">
        <v>26</v>
      </c>
      <c r="G67" s="34" t="s">
        <v>110</v>
      </c>
      <c r="H67" s="34"/>
      <c r="I67" s="5" t="str">
        <f ca="1">IF(K67&lt;=now,"y","")</f>
        <v>y</v>
      </c>
      <c r="J67" s="34"/>
      <c r="K67" s="26">
        <f t="shared" si="0"/>
        <v>0.59027777777777779</v>
      </c>
      <c r="L67" s="14">
        <f t="shared" si="1"/>
        <v>1</v>
      </c>
      <c r="M67" s="14">
        <f t="shared" si="2"/>
        <v>4</v>
      </c>
      <c r="N67" s="14">
        <f t="shared" si="3"/>
        <v>2</v>
      </c>
      <c r="O67" s="14">
        <f t="shared" si="4"/>
        <v>2</v>
      </c>
      <c r="P67" s="14">
        <f t="shared" si="5"/>
        <v>0</v>
      </c>
    </row>
    <row r="68" spans="1:16" x14ac:dyDescent="0.25">
      <c r="A68">
        <v>62</v>
      </c>
      <c r="B68" s="34" t="s">
        <v>38</v>
      </c>
      <c r="C68" s="36">
        <v>1.3888888888888888E-2</v>
      </c>
      <c r="D68" s="15">
        <f>Serve-C68</f>
        <v>0.59027777777777779</v>
      </c>
      <c r="E68" s="36" t="s">
        <v>19</v>
      </c>
      <c r="F68" s="34" t="s">
        <v>111</v>
      </c>
      <c r="G68" s="34"/>
      <c r="H68" s="34"/>
      <c r="I68" s="5" t="str">
        <f ca="1">IF(K68&lt;=now,"y","")</f>
        <v>y</v>
      </c>
      <c r="J68" s="34"/>
      <c r="K68" s="26">
        <f t="shared" si="0"/>
        <v>0.59027777777777779</v>
      </c>
      <c r="L68" s="14">
        <f t="shared" si="1"/>
        <v>1</v>
      </c>
      <c r="M68" s="14">
        <f t="shared" si="2"/>
        <v>4</v>
      </c>
      <c r="N68" s="14">
        <f t="shared" si="3"/>
        <v>2</v>
      </c>
      <c r="O68" s="14">
        <f t="shared" si="4"/>
        <v>2</v>
      </c>
      <c r="P68" s="14">
        <f t="shared" si="5"/>
        <v>0</v>
      </c>
    </row>
    <row r="69" spans="1:16" x14ac:dyDescent="0.25">
      <c r="A69">
        <v>63</v>
      </c>
      <c r="B69" s="34" t="s">
        <v>22</v>
      </c>
      <c r="C69" s="36">
        <v>1.3888888888888888E-2</v>
      </c>
      <c r="D69" s="15">
        <f>Serve-C69</f>
        <v>0.59027777777777779</v>
      </c>
      <c r="E69" s="36" t="s">
        <v>8</v>
      </c>
      <c r="F69" s="34" t="s">
        <v>14</v>
      </c>
      <c r="G69" s="34"/>
      <c r="H69" s="34"/>
      <c r="I69" s="5" t="str">
        <f ca="1">IF(K69&lt;=now,"y","")</f>
        <v>y</v>
      </c>
      <c r="J69" s="34"/>
      <c r="K69" s="26">
        <f t="shared" si="0"/>
        <v>0.59027777777777779</v>
      </c>
      <c r="L69" s="14">
        <f t="shared" si="1"/>
        <v>1</v>
      </c>
      <c r="M69" s="14">
        <f t="shared" si="2"/>
        <v>4</v>
      </c>
      <c r="N69" s="14">
        <f t="shared" si="3"/>
        <v>2</v>
      </c>
      <c r="O69" s="14">
        <f t="shared" si="4"/>
        <v>2</v>
      </c>
      <c r="P69" s="14">
        <f t="shared" si="5"/>
        <v>0</v>
      </c>
    </row>
    <row r="70" spans="1:16" x14ac:dyDescent="0.25">
      <c r="A70">
        <v>64</v>
      </c>
      <c r="B70" s="34" t="s">
        <v>37</v>
      </c>
      <c r="C70" s="36">
        <v>1.3888888888888888E-2</v>
      </c>
      <c r="D70" s="15">
        <f>Serve-C70</f>
        <v>0.59027777777777779</v>
      </c>
      <c r="E70" s="36" t="s">
        <v>18</v>
      </c>
      <c r="F70" s="34" t="s">
        <v>111</v>
      </c>
      <c r="G70" s="34"/>
      <c r="H70" s="34"/>
      <c r="I70" s="5" t="str">
        <f ca="1">IF(K70&lt;=now,"y","")</f>
        <v>y</v>
      </c>
      <c r="J70" s="34"/>
      <c r="K70" s="26">
        <f t="shared" si="0"/>
        <v>0.59027777777777779</v>
      </c>
      <c r="L70" s="14">
        <f t="shared" si="1"/>
        <v>1</v>
      </c>
      <c r="M70" s="14">
        <f t="shared" si="2"/>
        <v>4</v>
      </c>
      <c r="N70" s="14">
        <f t="shared" si="3"/>
        <v>2</v>
      </c>
      <c r="O70" s="14">
        <f t="shared" si="4"/>
        <v>2</v>
      </c>
      <c r="P70" s="14">
        <f t="shared" si="5"/>
        <v>0</v>
      </c>
    </row>
    <row r="71" spans="1:16" x14ac:dyDescent="0.25">
      <c r="A71">
        <v>65</v>
      </c>
      <c r="B71" s="34" t="s">
        <v>31</v>
      </c>
      <c r="C71" s="36">
        <v>1.3888888888888888E-2</v>
      </c>
      <c r="D71" s="15">
        <f>Serve-C71</f>
        <v>0.59027777777777779</v>
      </c>
      <c r="E71" s="36" t="s">
        <v>17</v>
      </c>
      <c r="F71" s="34" t="s">
        <v>26</v>
      </c>
      <c r="G71" s="34"/>
      <c r="H71" s="34"/>
      <c r="I71" s="5" t="str">
        <f ca="1">IF(K71&lt;=now,"y","")</f>
        <v>y</v>
      </c>
      <c r="J71" s="34"/>
      <c r="K71" s="26">
        <f t="shared" si="0"/>
        <v>0.59027777777777779</v>
      </c>
      <c r="L71" s="14">
        <f t="shared" si="1"/>
        <v>1</v>
      </c>
      <c r="M71" s="14">
        <f t="shared" si="2"/>
        <v>4</v>
      </c>
      <c r="N71" s="14">
        <f t="shared" si="3"/>
        <v>2</v>
      </c>
      <c r="O71" s="14">
        <f t="shared" si="4"/>
        <v>2</v>
      </c>
      <c r="P71" s="14">
        <f t="shared" si="5"/>
        <v>0</v>
      </c>
    </row>
    <row r="72" spans="1:16" x14ac:dyDescent="0.25">
      <c r="A72">
        <v>66</v>
      </c>
      <c r="B72" s="34" t="s">
        <v>89</v>
      </c>
      <c r="C72" s="36">
        <v>1.3888888888888888E-2</v>
      </c>
      <c r="D72" s="15">
        <f>Serve-C72</f>
        <v>0.59027777777777779</v>
      </c>
      <c r="E72" s="36" t="s">
        <v>66</v>
      </c>
      <c r="F72" s="34" t="s">
        <v>14</v>
      </c>
      <c r="G72" s="34" t="s">
        <v>109</v>
      </c>
      <c r="H72" s="34"/>
      <c r="I72" s="5" t="str">
        <f ca="1">IF(K72&lt;=now,"y","")</f>
        <v>y</v>
      </c>
      <c r="J72" s="34"/>
      <c r="K72" s="26">
        <f t="shared" si="0"/>
        <v>0.59027777777777779</v>
      </c>
      <c r="L72" s="14">
        <f t="shared" si="1"/>
        <v>1</v>
      </c>
      <c r="M72" s="14">
        <f t="shared" si="2"/>
        <v>4</v>
      </c>
      <c r="N72" s="14">
        <f t="shared" si="3"/>
        <v>2</v>
      </c>
      <c r="O72" s="14">
        <f t="shared" si="4"/>
        <v>3</v>
      </c>
      <c r="P72" s="14">
        <f t="shared" si="5"/>
        <v>0</v>
      </c>
    </row>
    <row r="73" spans="1:16" x14ac:dyDescent="0.25">
      <c r="A73">
        <v>67</v>
      </c>
      <c r="B73" s="34" t="s">
        <v>63</v>
      </c>
      <c r="C73" s="36">
        <v>1.3888888888888888E-2</v>
      </c>
      <c r="D73" s="15">
        <f>Serve-C73</f>
        <v>0.59027777777777779</v>
      </c>
      <c r="E73" s="36" t="s">
        <v>65</v>
      </c>
      <c r="F73" s="34" t="s">
        <v>82</v>
      </c>
      <c r="G73" s="34"/>
      <c r="H73" s="34"/>
      <c r="I73" s="5" t="str">
        <f ca="1">IF(K73&lt;=now,"y","")</f>
        <v>y</v>
      </c>
      <c r="J73" s="34"/>
      <c r="K73" s="26">
        <f t="shared" si="0"/>
        <v>0.59027777777777779</v>
      </c>
      <c r="L73" s="14">
        <f t="shared" si="1"/>
        <v>1</v>
      </c>
      <c r="M73" s="14">
        <f t="shared" si="2"/>
        <v>4</v>
      </c>
      <c r="N73" s="14">
        <f t="shared" si="3"/>
        <v>2</v>
      </c>
      <c r="O73" s="14">
        <f t="shared" si="4"/>
        <v>3</v>
      </c>
      <c r="P73" s="14">
        <f t="shared" si="5"/>
        <v>0</v>
      </c>
    </row>
    <row r="74" spans="1:16" x14ac:dyDescent="0.25">
      <c r="A74">
        <v>101</v>
      </c>
      <c r="B74" s="34" t="s">
        <v>128</v>
      </c>
      <c r="C74" s="36">
        <v>1.3888888888888888E-2</v>
      </c>
      <c r="D74" s="15">
        <f>Serve-C74</f>
        <v>0.59027777777777779</v>
      </c>
      <c r="E74" s="36" t="s">
        <v>82</v>
      </c>
      <c r="F74" s="34" t="s">
        <v>26</v>
      </c>
      <c r="G74" s="34" t="s">
        <v>109</v>
      </c>
      <c r="H74" s="34"/>
      <c r="I74" s="5" t="str">
        <f ca="1">IF(K74&lt;=now,"y","")</f>
        <v>y</v>
      </c>
      <c r="J74" s="34"/>
      <c r="K74" s="26">
        <f t="shared" ref="K74:K103" si="6">TIME(HOUR(D74),MINUTE(D74),SECOND(D74))</f>
        <v>0.59027777777777779</v>
      </c>
      <c r="L74" s="14">
        <f t="shared" ref="L74:L103" si="7">IF($F74=L$6, IF($G74="+",L73+1,IF($G74="-",L73-1,L73)),L73)</f>
        <v>2</v>
      </c>
      <c r="M74" s="14">
        <f t="shared" ref="M74:M103" si="8">IF($F74=M$6, IF($G74="+",M73+1,IF($G74="-",M73-1,M73)),M73)</f>
        <v>4</v>
      </c>
      <c r="N74" s="14">
        <f t="shared" ref="N74:N103" si="9">IF($F74=N$6, IF($G74="+",N73+1,IF($G74="-",N73-1,N73)),N73)</f>
        <v>2</v>
      </c>
      <c r="O74" s="14">
        <f t="shared" ref="O74:O103" si="10">IF($F74=O$6, IF($G74="+",O73+1,IF($G74="-",O73-1,O73)),O73)</f>
        <v>3</v>
      </c>
      <c r="P74" s="14">
        <f t="shared" ref="P74:P103" si="11">IF($F74=P$6, IF($G74="+",P73+1,IF($G74="-",P73-1,P73)),P73)</f>
        <v>0</v>
      </c>
    </row>
    <row r="75" spans="1:16" x14ac:dyDescent="0.25">
      <c r="A75">
        <v>68</v>
      </c>
      <c r="B75" s="34" t="s">
        <v>96</v>
      </c>
      <c r="C75" s="36">
        <v>1.2499999999999999E-2</v>
      </c>
      <c r="D75" s="15">
        <f>Serve-C75</f>
        <v>0.59166666666666667</v>
      </c>
      <c r="E75" s="36" t="s">
        <v>23</v>
      </c>
      <c r="F75" s="34" t="s">
        <v>10</v>
      </c>
      <c r="G75" s="34" t="s">
        <v>109</v>
      </c>
      <c r="H75" s="34"/>
      <c r="I75" s="5" t="str">
        <f ca="1">IF(K75&lt;=now,"y","")</f>
        <v>y</v>
      </c>
      <c r="J75" s="34"/>
      <c r="K75" s="26">
        <f t="shared" si="6"/>
        <v>0.59166666666666667</v>
      </c>
      <c r="L75" s="14">
        <f t="shared" si="7"/>
        <v>2</v>
      </c>
      <c r="M75" s="14">
        <f t="shared" si="8"/>
        <v>4</v>
      </c>
      <c r="N75" s="14">
        <f t="shared" si="9"/>
        <v>2</v>
      </c>
      <c r="O75" s="14">
        <f t="shared" si="10"/>
        <v>3</v>
      </c>
      <c r="P75" s="14">
        <f t="shared" si="11"/>
        <v>1</v>
      </c>
    </row>
    <row r="76" spans="1:16" x14ac:dyDescent="0.25">
      <c r="A76">
        <v>69</v>
      </c>
      <c r="B76" s="34" t="s">
        <v>39</v>
      </c>
      <c r="C76" s="36">
        <v>1.0416666666666666E-2</v>
      </c>
      <c r="D76" s="15">
        <f>Serve-C76</f>
        <v>0.59375</v>
      </c>
      <c r="E76" s="36" t="s">
        <v>8</v>
      </c>
      <c r="F76" s="34" t="s">
        <v>14</v>
      </c>
      <c r="G76" s="34"/>
      <c r="H76" s="34"/>
      <c r="I76" s="5" t="str">
        <f ca="1">IF(K76&lt;=now,"y","")</f>
        <v>y</v>
      </c>
      <c r="J76" s="34"/>
      <c r="K76" s="26">
        <f t="shared" si="6"/>
        <v>0.59375</v>
      </c>
      <c r="L76" s="14">
        <f t="shared" si="7"/>
        <v>2</v>
      </c>
      <c r="M76" s="14">
        <f t="shared" si="8"/>
        <v>4</v>
      </c>
      <c r="N76" s="14">
        <f t="shared" si="9"/>
        <v>2</v>
      </c>
      <c r="O76" s="14">
        <f t="shared" si="10"/>
        <v>3</v>
      </c>
      <c r="P76" s="14">
        <f t="shared" si="11"/>
        <v>1</v>
      </c>
    </row>
    <row r="77" spans="1:16" x14ac:dyDescent="0.25">
      <c r="A77">
        <v>70</v>
      </c>
      <c r="B77" s="34" t="s">
        <v>40</v>
      </c>
      <c r="C77" s="36">
        <v>1.0416666666666666E-2</v>
      </c>
      <c r="D77" s="15">
        <f>Serve-C77</f>
        <v>0.59375</v>
      </c>
      <c r="E77" s="36" t="s">
        <v>8</v>
      </c>
      <c r="F77" s="34" t="s">
        <v>14</v>
      </c>
      <c r="G77" s="34"/>
      <c r="H77" s="34"/>
      <c r="I77" s="5" t="str">
        <f ca="1">IF(K77&lt;=now,"y","")</f>
        <v>y</v>
      </c>
      <c r="J77" s="34"/>
      <c r="K77" s="26">
        <f t="shared" si="6"/>
        <v>0.59375</v>
      </c>
      <c r="L77" s="14">
        <f t="shared" si="7"/>
        <v>2</v>
      </c>
      <c r="M77" s="14">
        <f t="shared" si="8"/>
        <v>4</v>
      </c>
      <c r="N77" s="14">
        <f t="shared" si="9"/>
        <v>2</v>
      </c>
      <c r="O77" s="14">
        <f t="shared" si="10"/>
        <v>3</v>
      </c>
      <c r="P77" s="14">
        <f t="shared" si="11"/>
        <v>1</v>
      </c>
    </row>
    <row r="78" spans="1:16" x14ac:dyDescent="0.25">
      <c r="A78">
        <v>71</v>
      </c>
      <c r="B78" s="34" t="s">
        <v>36</v>
      </c>
      <c r="C78" s="36">
        <v>6.9444444444444441E-3</v>
      </c>
      <c r="D78" s="15">
        <f>Serve-C78</f>
        <v>0.59722222222222221</v>
      </c>
      <c r="E78" s="36" t="s">
        <v>19</v>
      </c>
      <c r="F78" s="34" t="s">
        <v>111</v>
      </c>
      <c r="G78" s="34"/>
      <c r="H78" s="34"/>
      <c r="I78" s="5" t="str">
        <f ca="1">IF(K78&lt;=now,"y","")</f>
        <v>y</v>
      </c>
      <c r="J78" s="34"/>
      <c r="K78" s="26">
        <f t="shared" si="6"/>
        <v>0.59722222222222221</v>
      </c>
      <c r="L78" s="14">
        <f t="shared" si="7"/>
        <v>2</v>
      </c>
      <c r="M78" s="14">
        <f t="shared" si="8"/>
        <v>4</v>
      </c>
      <c r="N78" s="14">
        <f t="shared" si="9"/>
        <v>2</v>
      </c>
      <c r="O78" s="14">
        <f t="shared" si="10"/>
        <v>3</v>
      </c>
      <c r="P78" s="14">
        <f t="shared" si="11"/>
        <v>1</v>
      </c>
    </row>
    <row r="79" spans="1:16" x14ac:dyDescent="0.25">
      <c r="A79">
        <v>72</v>
      </c>
      <c r="B79" s="34" t="s">
        <v>41</v>
      </c>
      <c r="C79" s="36">
        <v>6.9444444444444441E-3</v>
      </c>
      <c r="D79" s="15">
        <f>Serve-C79</f>
        <v>0.59722222222222221</v>
      </c>
      <c r="E79" s="36" t="s">
        <v>18</v>
      </c>
      <c r="F79" s="34" t="s">
        <v>111</v>
      </c>
      <c r="G79" s="34"/>
      <c r="H79" s="34"/>
      <c r="I79" s="5" t="str">
        <f ca="1">IF(K79&lt;=now,"y","")</f>
        <v>y</v>
      </c>
      <c r="J79" s="34"/>
      <c r="K79" s="26">
        <f t="shared" si="6"/>
        <v>0.59722222222222221</v>
      </c>
      <c r="L79" s="14">
        <f t="shared" si="7"/>
        <v>2</v>
      </c>
      <c r="M79" s="14">
        <f t="shared" si="8"/>
        <v>4</v>
      </c>
      <c r="N79" s="14">
        <f t="shared" si="9"/>
        <v>2</v>
      </c>
      <c r="O79" s="14">
        <f t="shared" si="10"/>
        <v>3</v>
      </c>
      <c r="P79" s="14">
        <f t="shared" si="11"/>
        <v>1</v>
      </c>
    </row>
    <row r="80" spans="1:16" x14ac:dyDescent="0.25">
      <c r="A80">
        <v>73</v>
      </c>
      <c r="B80" s="34" t="s">
        <v>68</v>
      </c>
      <c r="C80" s="36">
        <v>6.9444444444444441E-3</v>
      </c>
      <c r="D80" s="15">
        <f>Serve-C80</f>
        <v>0.59722222222222221</v>
      </c>
      <c r="E80" s="36" t="s">
        <v>66</v>
      </c>
      <c r="F80" s="34" t="s">
        <v>14</v>
      </c>
      <c r="G80" s="34"/>
      <c r="H80" s="34"/>
      <c r="I80" s="5" t="str">
        <f ca="1">IF(K80&lt;=now,"y","")</f>
        <v>y</v>
      </c>
      <c r="J80" s="34"/>
      <c r="K80" s="26">
        <f t="shared" si="6"/>
        <v>0.59722222222222221</v>
      </c>
      <c r="L80" s="14">
        <f t="shared" si="7"/>
        <v>2</v>
      </c>
      <c r="M80" s="14">
        <f t="shared" si="8"/>
        <v>4</v>
      </c>
      <c r="N80" s="14">
        <f t="shared" si="9"/>
        <v>2</v>
      </c>
      <c r="O80" s="14">
        <f t="shared" si="10"/>
        <v>3</v>
      </c>
      <c r="P80" s="14">
        <f t="shared" si="11"/>
        <v>1</v>
      </c>
    </row>
    <row r="81" spans="1:16" x14ac:dyDescent="0.25">
      <c r="A81">
        <v>74</v>
      </c>
      <c r="B81" s="34" t="s">
        <v>73</v>
      </c>
      <c r="C81" s="36">
        <v>6.9444444444444441E-3</v>
      </c>
      <c r="D81" s="15">
        <f>Serve-C81</f>
        <v>0.59722222222222221</v>
      </c>
      <c r="E81" s="36" t="s">
        <v>71</v>
      </c>
      <c r="F81" s="34" t="s">
        <v>14</v>
      </c>
      <c r="G81" s="34" t="s">
        <v>110</v>
      </c>
      <c r="H81" s="34"/>
      <c r="I81" s="5" t="str">
        <f ca="1">IF(K81&lt;=now,"y","")</f>
        <v>y</v>
      </c>
      <c r="J81" s="34"/>
      <c r="K81" s="26">
        <f t="shared" si="6"/>
        <v>0.59722222222222221</v>
      </c>
      <c r="L81" s="14">
        <f t="shared" si="7"/>
        <v>2</v>
      </c>
      <c r="M81" s="14">
        <f t="shared" si="8"/>
        <v>4</v>
      </c>
      <c r="N81" s="14">
        <f t="shared" si="9"/>
        <v>2</v>
      </c>
      <c r="O81" s="14">
        <f t="shared" si="10"/>
        <v>2</v>
      </c>
      <c r="P81" s="14">
        <f t="shared" si="11"/>
        <v>1</v>
      </c>
    </row>
    <row r="82" spans="1:16" x14ac:dyDescent="0.25">
      <c r="A82">
        <v>75</v>
      </c>
      <c r="B82" s="34" t="s">
        <v>55</v>
      </c>
      <c r="C82" s="36">
        <v>6.9444444444444441E-3</v>
      </c>
      <c r="D82" s="15">
        <f>Serve-C82</f>
        <v>0.59722222222222221</v>
      </c>
      <c r="E82" s="36" t="s">
        <v>9</v>
      </c>
      <c r="F82" s="34" t="s">
        <v>82</v>
      </c>
      <c r="G82" s="34"/>
      <c r="H82" s="34"/>
      <c r="I82" s="5" t="str">
        <f ca="1">IF(K82&lt;=now,"y","")</f>
        <v>y</v>
      </c>
      <c r="J82" s="34"/>
      <c r="K82" s="26">
        <f t="shared" si="6"/>
        <v>0.59722222222222221</v>
      </c>
      <c r="L82" s="14">
        <f t="shared" si="7"/>
        <v>2</v>
      </c>
      <c r="M82" s="14">
        <f t="shared" si="8"/>
        <v>4</v>
      </c>
      <c r="N82" s="14">
        <f t="shared" si="9"/>
        <v>2</v>
      </c>
      <c r="O82" s="14">
        <f t="shared" si="10"/>
        <v>2</v>
      </c>
      <c r="P82" s="14">
        <f t="shared" si="11"/>
        <v>1</v>
      </c>
    </row>
    <row r="83" spans="1:16" x14ac:dyDescent="0.25">
      <c r="A83">
        <v>76</v>
      </c>
      <c r="B83" s="34" t="s">
        <v>56</v>
      </c>
      <c r="C83" s="36">
        <v>6.9444444444444441E-3</v>
      </c>
      <c r="D83" s="15">
        <f>Serve-C83</f>
        <v>0.59722222222222221</v>
      </c>
      <c r="E83" s="36" t="s">
        <v>15</v>
      </c>
      <c r="F83" s="34" t="s">
        <v>27</v>
      </c>
      <c r="G83" s="34" t="s">
        <v>109</v>
      </c>
      <c r="H83" s="34"/>
      <c r="I83" s="5" t="str">
        <f ca="1">IF(K83&lt;=now,"y","")</f>
        <v>y</v>
      </c>
      <c r="J83" s="34"/>
      <c r="K83" s="26">
        <f t="shared" si="6"/>
        <v>0.59722222222222221</v>
      </c>
      <c r="L83" s="14">
        <f t="shared" si="7"/>
        <v>2</v>
      </c>
      <c r="M83" s="14">
        <f t="shared" si="8"/>
        <v>5</v>
      </c>
      <c r="N83" s="14">
        <f t="shared" si="9"/>
        <v>2</v>
      </c>
      <c r="O83" s="14">
        <f t="shared" si="10"/>
        <v>2</v>
      </c>
      <c r="P83" s="14">
        <f t="shared" si="11"/>
        <v>1</v>
      </c>
    </row>
    <row r="84" spans="1:16" x14ac:dyDescent="0.25">
      <c r="A84">
        <v>77</v>
      </c>
      <c r="B84" s="34" t="s">
        <v>76</v>
      </c>
      <c r="C84" s="36">
        <v>3.472222222222222E-3</v>
      </c>
      <c r="D84" s="15">
        <f>Serve-C84</f>
        <v>0.60069444444444442</v>
      </c>
      <c r="E84" s="36" t="s">
        <v>74</v>
      </c>
      <c r="F84" s="34" t="s">
        <v>10</v>
      </c>
      <c r="G84" s="34" t="s">
        <v>109</v>
      </c>
      <c r="H84" s="34"/>
      <c r="I84" s="5" t="str">
        <f ca="1">IF(K84&lt;=now,"y","")</f>
        <v>y</v>
      </c>
      <c r="J84" s="34"/>
      <c r="K84" s="26">
        <f t="shared" si="6"/>
        <v>0.60069444444444442</v>
      </c>
      <c r="L84" s="14">
        <f t="shared" si="7"/>
        <v>2</v>
      </c>
      <c r="M84" s="14">
        <f t="shared" si="8"/>
        <v>5</v>
      </c>
      <c r="N84" s="14">
        <f t="shared" si="9"/>
        <v>2</v>
      </c>
      <c r="O84" s="14">
        <f t="shared" si="10"/>
        <v>2</v>
      </c>
      <c r="P84" s="14">
        <f t="shared" si="11"/>
        <v>2</v>
      </c>
    </row>
    <row r="85" spans="1:16" x14ac:dyDescent="0.25">
      <c r="A85">
        <v>78</v>
      </c>
      <c r="B85" s="34" t="s">
        <v>75</v>
      </c>
      <c r="C85" s="36">
        <v>3.472222222222222E-3</v>
      </c>
      <c r="D85" s="15">
        <f>Serve-C85</f>
        <v>0.60069444444444442</v>
      </c>
      <c r="E85" s="36" t="s">
        <v>23</v>
      </c>
      <c r="F85" s="34" t="s">
        <v>10</v>
      </c>
      <c r="G85" s="34" t="s">
        <v>110</v>
      </c>
      <c r="H85" s="34"/>
      <c r="I85" s="5" t="str">
        <f ca="1">IF(K85&lt;=now,"y","")</f>
        <v>y</v>
      </c>
      <c r="J85" s="34"/>
      <c r="K85" s="26">
        <f t="shared" si="6"/>
        <v>0.60069444444444442</v>
      </c>
      <c r="L85" s="14">
        <f t="shared" si="7"/>
        <v>2</v>
      </c>
      <c r="M85" s="14">
        <f t="shared" si="8"/>
        <v>5</v>
      </c>
      <c r="N85" s="14">
        <f t="shared" si="9"/>
        <v>2</v>
      </c>
      <c r="O85" s="14">
        <f t="shared" si="10"/>
        <v>2</v>
      </c>
      <c r="P85" s="14">
        <f t="shared" si="11"/>
        <v>1</v>
      </c>
    </row>
    <row r="86" spans="1:16" x14ac:dyDescent="0.25">
      <c r="A86">
        <v>79</v>
      </c>
      <c r="B86" s="34" t="s">
        <v>46</v>
      </c>
      <c r="C86" s="36">
        <v>3.472222222222222E-3</v>
      </c>
      <c r="D86" s="15">
        <f>Serve-C86</f>
        <v>0.60069444444444442</v>
      </c>
      <c r="E86" s="36" t="str">
        <f>Meat1</f>
        <v>Turkey</v>
      </c>
      <c r="F86" s="34" t="s">
        <v>82</v>
      </c>
      <c r="G86" s="34"/>
      <c r="H86" s="34"/>
      <c r="I86" s="5" t="str">
        <f ca="1">IF(K86&lt;=now,"y","")</f>
        <v>y</v>
      </c>
      <c r="J86" s="34"/>
      <c r="K86" s="26">
        <f t="shared" si="6"/>
        <v>0.60069444444444442</v>
      </c>
      <c r="L86" s="14">
        <f t="shared" si="7"/>
        <v>2</v>
      </c>
      <c r="M86" s="14">
        <f t="shared" si="8"/>
        <v>5</v>
      </c>
      <c r="N86" s="14">
        <f t="shared" si="9"/>
        <v>2</v>
      </c>
      <c r="O86" s="14">
        <f t="shared" si="10"/>
        <v>2</v>
      </c>
      <c r="P86" s="14">
        <f t="shared" si="11"/>
        <v>1</v>
      </c>
    </row>
    <row r="87" spans="1:16" x14ac:dyDescent="0.25">
      <c r="A87">
        <v>102</v>
      </c>
      <c r="B87" s="34" t="s">
        <v>132</v>
      </c>
      <c r="C87" s="36">
        <v>6.9444444444444447E-4</v>
      </c>
      <c r="D87" s="15">
        <f>Serve-C87</f>
        <v>0.60347222222222219</v>
      </c>
      <c r="E87" s="36" t="s">
        <v>82</v>
      </c>
      <c r="F87" s="34" t="s">
        <v>26</v>
      </c>
      <c r="G87" s="34" t="s">
        <v>110</v>
      </c>
      <c r="H87" s="34"/>
      <c r="I87" s="5" t="str">
        <f ca="1">IF(K87&lt;=now,"y","")</f>
        <v>y</v>
      </c>
      <c r="J87" s="34"/>
      <c r="K87" s="26">
        <f t="shared" si="6"/>
        <v>0.60347222222222219</v>
      </c>
      <c r="L87" s="14">
        <f t="shared" si="7"/>
        <v>1</v>
      </c>
      <c r="M87" s="14">
        <f t="shared" si="8"/>
        <v>5</v>
      </c>
      <c r="N87" s="14">
        <f t="shared" si="9"/>
        <v>2</v>
      </c>
      <c r="O87" s="14">
        <f t="shared" si="10"/>
        <v>2</v>
      </c>
      <c r="P87" s="14">
        <f t="shared" si="11"/>
        <v>1</v>
      </c>
    </row>
    <row r="88" spans="1:16" x14ac:dyDescent="0.25">
      <c r="A88">
        <v>80</v>
      </c>
      <c r="B88" s="34" t="s">
        <v>77</v>
      </c>
      <c r="C88" s="36">
        <v>0</v>
      </c>
      <c r="D88" s="15">
        <f>Serve-C88</f>
        <v>0.60416666666666663</v>
      </c>
      <c r="E88" s="36" t="s">
        <v>74</v>
      </c>
      <c r="F88" s="34" t="s">
        <v>10</v>
      </c>
      <c r="G88" s="34" t="s">
        <v>110</v>
      </c>
      <c r="H88" s="34"/>
      <c r="I88" s="5" t="str">
        <f ca="1">IF(K88&lt;=now,"y","")</f>
        <v>y</v>
      </c>
      <c r="J88" s="34"/>
      <c r="K88" s="26">
        <f t="shared" si="6"/>
        <v>0.60416666666666663</v>
      </c>
      <c r="L88" s="14">
        <f t="shared" si="7"/>
        <v>1</v>
      </c>
      <c r="M88" s="14">
        <f t="shared" si="8"/>
        <v>5</v>
      </c>
      <c r="N88" s="14">
        <f t="shared" si="9"/>
        <v>2</v>
      </c>
      <c r="O88" s="14">
        <f t="shared" si="10"/>
        <v>2</v>
      </c>
      <c r="P88" s="14">
        <f t="shared" si="11"/>
        <v>0</v>
      </c>
    </row>
    <row r="89" spans="1:16" x14ac:dyDescent="0.25">
      <c r="A89">
        <v>81</v>
      </c>
      <c r="B89" s="34" t="s">
        <v>11</v>
      </c>
      <c r="C89" s="36">
        <v>0</v>
      </c>
      <c r="D89" s="15">
        <f>Serve-C89</f>
        <v>0.60416666666666663</v>
      </c>
      <c r="E89" s="36" t="s">
        <v>19</v>
      </c>
      <c r="F89" s="34" t="s">
        <v>111</v>
      </c>
      <c r="G89" s="34" t="s">
        <v>110</v>
      </c>
      <c r="H89" s="34"/>
      <c r="I89" s="5" t="str">
        <f ca="1">IF(K89&lt;=now,"y","")</f>
        <v>y</v>
      </c>
      <c r="J89" s="34"/>
      <c r="K89" s="26">
        <f t="shared" si="6"/>
        <v>0.60416666666666663</v>
      </c>
      <c r="L89" s="14">
        <f t="shared" si="7"/>
        <v>1</v>
      </c>
      <c r="M89" s="14">
        <f t="shared" si="8"/>
        <v>5</v>
      </c>
      <c r="N89" s="14">
        <f t="shared" si="9"/>
        <v>1</v>
      </c>
      <c r="O89" s="14">
        <f t="shared" si="10"/>
        <v>2</v>
      </c>
      <c r="P89" s="14">
        <f t="shared" si="11"/>
        <v>0</v>
      </c>
    </row>
    <row r="90" spans="1:16" x14ac:dyDescent="0.25">
      <c r="A90">
        <v>82</v>
      </c>
      <c r="B90" s="34" t="s">
        <v>116</v>
      </c>
      <c r="C90" s="36">
        <v>0</v>
      </c>
      <c r="D90" s="15">
        <f>Serve-C90</f>
        <v>0.60416666666666663</v>
      </c>
      <c r="E90" s="36" t="str">
        <f>Meat2</f>
        <v>Beef</v>
      </c>
      <c r="F90" s="34" t="s">
        <v>82</v>
      </c>
      <c r="G90" s="34"/>
      <c r="H90" s="34"/>
      <c r="I90" s="5" t="str">
        <f ca="1">IF(K90&lt;=now,"y","")</f>
        <v>y</v>
      </c>
      <c r="J90" s="34"/>
      <c r="K90" s="26">
        <f t="shared" si="6"/>
        <v>0.60416666666666663</v>
      </c>
      <c r="L90" s="14">
        <f t="shared" si="7"/>
        <v>1</v>
      </c>
      <c r="M90" s="14">
        <f t="shared" si="8"/>
        <v>5</v>
      </c>
      <c r="N90" s="14">
        <f t="shared" si="9"/>
        <v>1</v>
      </c>
      <c r="O90" s="14">
        <f t="shared" si="10"/>
        <v>2</v>
      </c>
      <c r="P90" s="14">
        <f t="shared" si="11"/>
        <v>0</v>
      </c>
    </row>
    <row r="91" spans="1:16" x14ac:dyDescent="0.25">
      <c r="A91">
        <v>83</v>
      </c>
      <c r="B91" s="34" t="s">
        <v>51</v>
      </c>
      <c r="C91" s="36">
        <v>0</v>
      </c>
      <c r="D91" s="15">
        <f>Serve-C91</f>
        <v>0.60416666666666663</v>
      </c>
      <c r="E91" s="36" t="s">
        <v>49</v>
      </c>
      <c r="F91" s="34" t="s">
        <v>27</v>
      </c>
      <c r="G91" s="34" t="s">
        <v>110</v>
      </c>
      <c r="H91" s="34"/>
      <c r="I91" s="5" t="str">
        <f ca="1">IF(K91&lt;=now,"y","")</f>
        <v>y</v>
      </c>
      <c r="J91" s="34"/>
      <c r="K91" s="26">
        <f t="shared" si="6"/>
        <v>0.60416666666666663</v>
      </c>
      <c r="L91" s="14">
        <f t="shared" si="7"/>
        <v>1</v>
      </c>
      <c r="M91" s="14">
        <f t="shared" si="8"/>
        <v>4</v>
      </c>
      <c r="N91" s="14">
        <f t="shared" si="9"/>
        <v>1</v>
      </c>
      <c r="O91" s="14">
        <f t="shared" si="10"/>
        <v>2</v>
      </c>
      <c r="P91" s="14">
        <f t="shared" si="11"/>
        <v>0</v>
      </c>
    </row>
    <row r="92" spans="1:16" x14ac:dyDescent="0.25">
      <c r="A92">
        <v>84</v>
      </c>
      <c r="B92" s="34" t="s">
        <v>12</v>
      </c>
      <c r="C92" s="36">
        <v>0</v>
      </c>
      <c r="D92" s="15">
        <f>Serve-C92</f>
        <v>0.60416666666666663</v>
      </c>
      <c r="E92" s="36" t="s">
        <v>18</v>
      </c>
      <c r="F92" s="34" t="s">
        <v>111</v>
      </c>
      <c r="G92" s="34" t="s">
        <v>110</v>
      </c>
      <c r="H92" s="34"/>
      <c r="I92" s="5" t="str">
        <f ca="1">IF(K92&lt;=now,"y","")</f>
        <v>y</v>
      </c>
      <c r="J92" s="34"/>
      <c r="K92" s="26">
        <f t="shared" si="6"/>
        <v>0.60416666666666663</v>
      </c>
      <c r="L92" s="14">
        <f t="shared" si="7"/>
        <v>1</v>
      </c>
      <c r="M92" s="14">
        <f t="shared" si="8"/>
        <v>4</v>
      </c>
      <c r="N92" s="14">
        <f t="shared" si="9"/>
        <v>0</v>
      </c>
      <c r="O92" s="14">
        <f t="shared" si="10"/>
        <v>2</v>
      </c>
      <c r="P92" s="14">
        <f t="shared" si="11"/>
        <v>0</v>
      </c>
    </row>
    <row r="93" spans="1:16" x14ac:dyDescent="0.25">
      <c r="A93">
        <v>85</v>
      </c>
      <c r="B93" s="34" t="s">
        <v>13</v>
      </c>
      <c r="C93" s="36">
        <v>0</v>
      </c>
      <c r="D93" s="15">
        <f>Serve-C93</f>
        <v>0.60416666666666663</v>
      </c>
      <c r="E93" s="36" t="s">
        <v>23</v>
      </c>
      <c r="F93" s="34" t="s">
        <v>10</v>
      </c>
      <c r="G93" s="34"/>
      <c r="H93" s="34"/>
      <c r="I93" s="5" t="str">
        <f ca="1">IF(K93&lt;=now,"y","")</f>
        <v>y</v>
      </c>
      <c r="J93" s="34"/>
      <c r="K93" s="26">
        <f t="shared" si="6"/>
        <v>0.60416666666666663</v>
      </c>
      <c r="L93" s="14">
        <f t="shared" si="7"/>
        <v>1</v>
      </c>
      <c r="M93" s="14">
        <f t="shared" si="8"/>
        <v>4</v>
      </c>
      <c r="N93" s="14">
        <f t="shared" si="9"/>
        <v>0</v>
      </c>
      <c r="O93" s="14">
        <f t="shared" si="10"/>
        <v>2</v>
      </c>
      <c r="P93" s="14">
        <f t="shared" si="11"/>
        <v>0</v>
      </c>
    </row>
    <row r="94" spans="1:16" x14ac:dyDescent="0.25">
      <c r="A94">
        <v>86</v>
      </c>
      <c r="B94" s="34" t="s">
        <v>54</v>
      </c>
      <c r="C94" s="36">
        <v>0</v>
      </c>
      <c r="D94" s="15">
        <f>Serve-C94</f>
        <v>0.60416666666666663</v>
      </c>
      <c r="E94" s="36" t="s">
        <v>52</v>
      </c>
      <c r="F94" s="34" t="s">
        <v>27</v>
      </c>
      <c r="G94" s="34" t="s">
        <v>110</v>
      </c>
      <c r="H94" s="34"/>
      <c r="I94" s="5" t="str">
        <f ca="1">IF(K94&lt;=now,"y","")</f>
        <v>y</v>
      </c>
      <c r="J94" s="34"/>
      <c r="K94" s="26">
        <f t="shared" si="6"/>
        <v>0.60416666666666663</v>
      </c>
      <c r="L94" s="14">
        <f t="shared" si="7"/>
        <v>1</v>
      </c>
      <c r="M94" s="14">
        <f t="shared" si="8"/>
        <v>3</v>
      </c>
      <c r="N94" s="14">
        <f t="shared" si="9"/>
        <v>0</v>
      </c>
      <c r="O94" s="14">
        <f t="shared" si="10"/>
        <v>2</v>
      </c>
      <c r="P94" s="14">
        <f t="shared" si="11"/>
        <v>0</v>
      </c>
    </row>
    <row r="95" spans="1:16" x14ac:dyDescent="0.25">
      <c r="A95">
        <v>87</v>
      </c>
      <c r="B95" s="34" t="s">
        <v>42</v>
      </c>
      <c r="C95" s="36">
        <v>0</v>
      </c>
      <c r="D95" s="15">
        <f>Serve-C95</f>
        <v>0.60416666666666663</v>
      </c>
      <c r="E95" s="36" t="s">
        <v>17</v>
      </c>
      <c r="F95" s="34" t="s">
        <v>26</v>
      </c>
      <c r="G95" s="34" t="s">
        <v>110</v>
      </c>
      <c r="H95" s="34"/>
      <c r="I95" s="5" t="str">
        <f ca="1">IF(K95&lt;=now,"y","")</f>
        <v>y</v>
      </c>
      <c r="J95" s="34"/>
      <c r="K95" s="26">
        <f t="shared" si="6"/>
        <v>0.60416666666666663</v>
      </c>
      <c r="L95" s="14">
        <f t="shared" si="7"/>
        <v>0</v>
      </c>
      <c r="M95" s="14">
        <f t="shared" si="8"/>
        <v>3</v>
      </c>
      <c r="N95" s="14">
        <f t="shared" si="9"/>
        <v>0</v>
      </c>
      <c r="O95" s="14">
        <f t="shared" si="10"/>
        <v>2</v>
      </c>
      <c r="P95" s="14">
        <f t="shared" si="11"/>
        <v>0</v>
      </c>
    </row>
    <row r="96" spans="1:16" x14ac:dyDescent="0.25">
      <c r="A96">
        <v>88</v>
      </c>
      <c r="B96" s="34" t="s">
        <v>70</v>
      </c>
      <c r="C96" s="36">
        <v>0</v>
      </c>
      <c r="D96" s="15">
        <f>Serve-C96</f>
        <v>0.60416666666666663</v>
      </c>
      <c r="E96" s="36" t="s">
        <v>66</v>
      </c>
      <c r="F96" s="34" t="s">
        <v>14</v>
      </c>
      <c r="G96" s="34" t="s">
        <v>110</v>
      </c>
      <c r="H96" s="34"/>
      <c r="I96" s="5" t="str">
        <f ca="1">IF(K96&lt;=now,"y","")</f>
        <v>y</v>
      </c>
      <c r="J96" s="34"/>
      <c r="K96" s="26">
        <f t="shared" si="6"/>
        <v>0.60416666666666663</v>
      </c>
      <c r="L96" s="14">
        <f t="shared" si="7"/>
        <v>0</v>
      </c>
      <c r="M96" s="14">
        <f t="shared" si="8"/>
        <v>3</v>
      </c>
      <c r="N96" s="14">
        <f t="shared" si="9"/>
        <v>0</v>
      </c>
      <c r="O96" s="14">
        <f t="shared" si="10"/>
        <v>1</v>
      </c>
      <c r="P96" s="14">
        <f t="shared" si="11"/>
        <v>0</v>
      </c>
    </row>
    <row r="97" spans="1:16" x14ac:dyDescent="0.25">
      <c r="A97">
        <v>89</v>
      </c>
      <c r="B97" s="34" t="s">
        <v>67</v>
      </c>
      <c r="C97" s="36">
        <v>0</v>
      </c>
      <c r="D97" s="15">
        <f>Serve-C97</f>
        <v>0.60416666666666663</v>
      </c>
      <c r="E97" s="36" t="s">
        <v>71</v>
      </c>
      <c r="F97" s="34" t="s">
        <v>69</v>
      </c>
      <c r="G97" s="34" t="s">
        <v>110</v>
      </c>
      <c r="H97" s="34"/>
      <c r="I97" s="5" t="str">
        <f ca="1">IF(K97&lt;=now,"y","")</f>
        <v>y</v>
      </c>
      <c r="J97" s="34"/>
      <c r="K97" s="26">
        <f t="shared" si="6"/>
        <v>0.60416666666666663</v>
      </c>
      <c r="L97" s="14">
        <f t="shared" si="7"/>
        <v>0</v>
      </c>
      <c r="M97" s="14">
        <f t="shared" si="8"/>
        <v>3</v>
      </c>
      <c r="N97" s="14">
        <f t="shared" si="9"/>
        <v>0</v>
      </c>
      <c r="O97" s="14">
        <f t="shared" si="10"/>
        <v>0</v>
      </c>
      <c r="P97" s="14">
        <f t="shared" si="11"/>
        <v>0</v>
      </c>
    </row>
    <row r="98" spans="1:16" x14ac:dyDescent="0.25">
      <c r="A98">
        <v>90</v>
      </c>
      <c r="B98" s="34" t="s">
        <v>47</v>
      </c>
      <c r="C98" s="36">
        <v>0</v>
      </c>
      <c r="D98" s="15">
        <f>Serve-C98</f>
        <v>0.60416666666666663</v>
      </c>
      <c r="E98" s="36" t="str">
        <f>Meat1</f>
        <v>Turkey</v>
      </c>
      <c r="F98" s="34" t="s">
        <v>82</v>
      </c>
      <c r="G98" s="34"/>
      <c r="H98" s="34"/>
      <c r="I98" s="5" t="str">
        <f ca="1">IF(K98&lt;=now,"y","")</f>
        <v>y</v>
      </c>
      <c r="J98" s="34"/>
      <c r="K98" s="26">
        <f t="shared" si="6"/>
        <v>0.60416666666666663</v>
      </c>
      <c r="L98" s="14">
        <f t="shared" si="7"/>
        <v>0</v>
      </c>
      <c r="M98" s="14">
        <f t="shared" si="8"/>
        <v>3</v>
      </c>
      <c r="N98" s="14">
        <f t="shared" si="9"/>
        <v>0</v>
      </c>
      <c r="O98" s="14">
        <f t="shared" si="10"/>
        <v>0</v>
      </c>
      <c r="P98" s="14">
        <f t="shared" si="11"/>
        <v>0</v>
      </c>
    </row>
    <row r="99" spans="1:16" x14ac:dyDescent="0.25">
      <c r="A99">
        <v>91</v>
      </c>
      <c r="B99" s="34" t="s">
        <v>24</v>
      </c>
      <c r="C99" s="36">
        <v>0</v>
      </c>
      <c r="D99" s="15">
        <f>Serve-C99</f>
        <v>0.60416666666666663</v>
      </c>
      <c r="E99" s="36" t="s">
        <v>7</v>
      </c>
      <c r="F99" s="34" t="s">
        <v>27</v>
      </c>
      <c r="G99" s="34" t="s">
        <v>110</v>
      </c>
      <c r="H99" s="34"/>
      <c r="I99" s="5" t="str">
        <f ca="1">IF(K99&lt;=now,"y","")</f>
        <v>y</v>
      </c>
      <c r="J99" s="34"/>
      <c r="K99" s="26">
        <f t="shared" si="6"/>
        <v>0.60416666666666663</v>
      </c>
      <c r="L99" s="14">
        <f t="shared" si="7"/>
        <v>0</v>
      </c>
      <c r="M99" s="14">
        <f t="shared" si="8"/>
        <v>2</v>
      </c>
      <c r="N99" s="14">
        <f t="shared" si="9"/>
        <v>0</v>
      </c>
      <c r="O99" s="14">
        <f t="shared" si="10"/>
        <v>0</v>
      </c>
      <c r="P99" s="14">
        <f t="shared" si="11"/>
        <v>0</v>
      </c>
    </row>
    <row r="100" spans="1:16" x14ac:dyDescent="0.25">
      <c r="A100">
        <v>92</v>
      </c>
      <c r="B100" s="34" t="s">
        <v>51</v>
      </c>
      <c r="C100" s="36">
        <v>0</v>
      </c>
      <c r="D100" s="15">
        <f>Serve-C100</f>
        <v>0.60416666666666663</v>
      </c>
      <c r="E100" s="36" t="s">
        <v>20</v>
      </c>
      <c r="F100" s="34" t="s">
        <v>27</v>
      </c>
      <c r="G100" s="34" t="s">
        <v>110</v>
      </c>
      <c r="H100" s="34"/>
      <c r="I100" s="5" t="str">
        <f ca="1">IF(K100&lt;=now,"y","")</f>
        <v>y</v>
      </c>
      <c r="J100" s="34"/>
      <c r="K100" s="26">
        <f t="shared" si="6"/>
        <v>0.60416666666666663</v>
      </c>
      <c r="L100" s="14">
        <f t="shared" si="7"/>
        <v>0</v>
      </c>
      <c r="M100" s="14">
        <f t="shared" si="8"/>
        <v>1</v>
      </c>
      <c r="N100" s="14">
        <f t="shared" si="9"/>
        <v>0</v>
      </c>
      <c r="O100" s="14">
        <f t="shared" si="10"/>
        <v>0</v>
      </c>
      <c r="P100" s="14">
        <f t="shared" si="11"/>
        <v>0</v>
      </c>
    </row>
    <row r="101" spans="1:16" x14ac:dyDescent="0.25">
      <c r="A101">
        <v>93</v>
      </c>
      <c r="B101" s="34" t="s">
        <v>57</v>
      </c>
      <c r="C101" s="36">
        <v>0</v>
      </c>
      <c r="D101" s="15">
        <f>Serve-C101</f>
        <v>0.60416666666666663</v>
      </c>
      <c r="E101" s="36" t="s">
        <v>15</v>
      </c>
      <c r="F101" s="34" t="s">
        <v>27</v>
      </c>
      <c r="G101" s="34" t="s">
        <v>110</v>
      </c>
      <c r="H101" s="34"/>
      <c r="I101" s="5" t="str">
        <f ca="1">IF(K101&lt;=now,"y","")</f>
        <v>y</v>
      </c>
      <c r="J101" s="34"/>
      <c r="K101" s="26">
        <f t="shared" si="6"/>
        <v>0.60416666666666663</v>
      </c>
      <c r="L101" s="14">
        <f t="shared" si="7"/>
        <v>0</v>
      </c>
      <c r="M101" s="14">
        <f t="shared" si="8"/>
        <v>0</v>
      </c>
      <c r="N101" s="14">
        <f t="shared" si="9"/>
        <v>0</v>
      </c>
      <c r="O101" s="14">
        <f t="shared" si="10"/>
        <v>0</v>
      </c>
      <c r="P101" s="14">
        <f t="shared" si="11"/>
        <v>0</v>
      </c>
    </row>
    <row r="102" spans="1:16" x14ac:dyDescent="0.25">
      <c r="A102">
        <v>94</v>
      </c>
      <c r="B102" s="34" t="s">
        <v>81</v>
      </c>
      <c r="C102" s="36">
        <v>0</v>
      </c>
      <c r="D102" s="15">
        <f>Serve-C102</f>
        <v>0.60416666666666663</v>
      </c>
      <c r="E102" s="36" t="s">
        <v>84</v>
      </c>
      <c r="F102" s="34" t="s">
        <v>82</v>
      </c>
      <c r="G102" s="34"/>
      <c r="H102" s="34"/>
      <c r="I102" s="5" t="str">
        <f ca="1">IF(K102&lt;=now,"y","")</f>
        <v>y</v>
      </c>
      <c r="J102" s="34"/>
      <c r="K102" s="26">
        <f t="shared" si="6"/>
        <v>0.60416666666666663</v>
      </c>
      <c r="L102" s="14">
        <f t="shared" si="7"/>
        <v>0</v>
      </c>
      <c r="M102" s="14">
        <f t="shared" si="8"/>
        <v>0</v>
      </c>
      <c r="N102" s="14">
        <f t="shared" si="9"/>
        <v>0</v>
      </c>
      <c r="O102" s="14">
        <f t="shared" si="10"/>
        <v>0</v>
      </c>
      <c r="P102" s="14">
        <f t="shared" si="11"/>
        <v>0</v>
      </c>
    </row>
    <row r="103" spans="1:16" x14ac:dyDescent="0.25">
      <c r="A103">
        <v>95</v>
      </c>
      <c r="B103" s="34" t="s">
        <v>58</v>
      </c>
      <c r="C103" s="36">
        <v>0</v>
      </c>
      <c r="D103" s="15">
        <f>Serve-C103</f>
        <v>0.60416666666666663</v>
      </c>
      <c r="E103" s="36" t="s">
        <v>82</v>
      </c>
      <c r="F103" s="34" t="s">
        <v>82</v>
      </c>
      <c r="G103" s="34"/>
      <c r="H103" s="34"/>
      <c r="I103" s="5" t="str">
        <f ca="1">IF(K103&lt;=now,"y","")</f>
        <v>y</v>
      </c>
      <c r="J103" s="34"/>
      <c r="K103" s="26">
        <f t="shared" si="6"/>
        <v>0.60416666666666663</v>
      </c>
      <c r="L103" s="14">
        <f t="shared" si="7"/>
        <v>0</v>
      </c>
      <c r="M103" s="14">
        <f t="shared" si="8"/>
        <v>0</v>
      </c>
      <c r="N103" s="14">
        <f t="shared" si="9"/>
        <v>0</v>
      </c>
      <c r="O103" s="14">
        <f t="shared" si="10"/>
        <v>0</v>
      </c>
      <c r="P103" s="14">
        <f t="shared" si="11"/>
        <v>0</v>
      </c>
    </row>
  </sheetData>
  <sheetProtection algorithmName="SHA-512" hashValue="U2saDYA4VJdUN3m9aVTAY/iaeju71CbtqZ0YwoWpK5/wbgkSOH+5kMK5ePjvlcTwX96tUDtNU/PWU+xzsqmzOA==" saltValue="ODOWtIFs+a2sfRAVhdYZpg==" spinCount="100000" sheet="1" objects="1" scenarios="1"/>
  <autoFilter ref="A8:J103" xr:uid="{00000000-0001-0000-0000-000000000000}">
    <sortState xmlns:xlrd2="http://schemas.microsoft.com/office/spreadsheetml/2017/richdata2" ref="A9:J103">
      <sortCondition ref="D8:D103"/>
    </sortState>
  </autoFilter>
  <sortState xmlns:xlrd2="http://schemas.microsoft.com/office/spreadsheetml/2017/richdata2" ref="A9:L99">
    <sortCondition ref="D9:D99"/>
    <sortCondition ref="A9:A99"/>
  </sortState>
  <mergeCells count="1">
    <mergeCell ref="B6:C6"/>
  </mergeCells>
  <conditionalFormatting sqref="D6">
    <cfRule type="expression" dxfId="5" priority="332">
      <formula>D6="Stopped"</formula>
    </cfRule>
    <cfRule type="expression" dxfId="4" priority="333">
      <formula>D6="Running"</formula>
    </cfRule>
  </conditionalFormatting>
  <conditionalFormatting sqref="B9:D103">
    <cfRule type="expression" dxfId="3" priority="352" stopIfTrue="1">
      <formula>$J9="y"</formula>
    </cfRule>
    <cfRule type="expression" dxfId="2" priority="353" stopIfTrue="1">
      <formula>$I9="y"</formula>
    </cfRule>
  </conditionalFormatting>
  <conditionalFormatting sqref="E9:J103">
    <cfRule type="expression" dxfId="1" priority="358" stopIfTrue="1">
      <formula>$J9="y"</formula>
    </cfRule>
  </conditionalFormatting>
  <conditionalFormatting sqref="E9:J103">
    <cfRule type="expression" dxfId="0" priority="359" stopIfTrue="1">
      <formula>$I9="y"</formula>
    </cfRule>
  </conditionalFormatting>
  <hyperlinks>
    <hyperlink ref="B5" location="Plan!A1" display="START MONITOR" xr:uid="{00000000-0004-0000-0000-000000000000}"/>
    <hyperlink ref="H2" location="Reformat" display="Reformat" xr:uid="{04EB7C69-D24A-4A2A-B51B-AAF954984290}"/>
    <hyperlink ref="H3" location="Clear" display="Clear" xr:uid="{7E0E13AD-2C26-4500-AAFA-E75D957FE3CA}"/>
  </hyperlinks>
  <pageMargins left="0.25" right="0.25" top="0.75" bottom="0.75" header="0.3" footer="0.3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27AFF-A782-42B1-A7FE-32287BBC120A}">
  <sheetPr codeName="Sheet2"/>
  <dimension ref="B2:E4"/>
  <sheetViews>
    <sheetView workbookViewId="0">
      <selection activeCell="C3" sqref="C3"/>
    </sheetView>
  </sheetViews>
  <sheetFormatPr defaultRowHeight="15" x14ac:dyDescent="0.25"/>
  <cols>
    <col min="1" max="1" width="2.85546875" customWidth="1"/>
    <col min="2" max="2" width="30" bestFit="1" customWidth="1"/>
    <col min="4" max="4" width="64.7109375" style="27" customWidth="1"/>
  </cols>
  <sheetData>
    <row r="2" spans="2:5" ht="30" x14ac:dyDescent="0.25">
      <c r="B2" s="28" t="s">
        <v>133</v>
      </c>
      <c r="C2" s="16" t="s">
        <v>134</v>
      </c>
      <c r="D2" s="27" t="s">
        <v>143</v>
      </c>
    </row>
    <row r="3" spans="2:5" ht="30" x14ac:dyDescent="0.25">
      <c r="B3" s="28" t="s">
        <v>135</v>
      </c>
      <c r="C3" s="17" t="s">
        <v>134</v>
      </c>
      <c r="D3" s="27" t="s">
        <v>143</v>
      </c>
      <c r="E3" s="27"/>
    </row>
    <row r="4" spans="2:5" ht="45" x14ac:dyDescent="0.25">
      <c r="B4" s="28" t="s">
        <v>136</v>
      </c>
      <c r="C4" s="29">
        <v>1</v>
      </c>
      <c r="D4" s="18" t="s">
        <v>141</v>
      </c>
    </row>
  </sheetData>
  <dataValidations count="1">
    <dataValidation type="whole" allowBlank="1" showInputMessage="1" showErrorMessage="1" promptTitle="Enter refresh rate" prompt="valid values are whole numbers between 1 and 60 (inclusive)" sqref="C4" xr:uid="{CDBE6AB3-FF23-4827-B3DC-39E8F7D6AA9A}">
      <formula1>1</formula1>
      <formula2>60</formula2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34</vt:i4>
      </vt:variant>
    </vt:vector>
  </HeadingPairs>
  <TitlesOfParts>
    <vt:vector size="36" baseType="lpstr">
      <vt:lpstr>Plan</vt:lpstr>
      <vt:lpstr>Parameters</vt:lpstr>
      <vt:lpstr>CarveTurkey</vt:lpstr>
      <vt:lpstr>Clear</vt:lpstr>
      <vt:lpstr>colComp</vt:lpstr>
      <vt:lpstr>colDue</vt:lpstr>
      <vt:lpstr>colInOut</vt:lpstr>
      <vt:lpstr>colLoc</vt:lpstr>
      <vt:lpstr>colLoc1</vt:lpstr>
      <vt:lpstr>colLoc2</vt:lpstr>
      <vt:lpstr>colLoc3</vt:lpstr>
      <vt:lpstr>colLoc4</vt:lpstr>
      <vt:lpstr>colLoc5</vt:lpstr>
      <vt:lpstr>colMinus</vt:lpstr>
      <vt:lpstr>colTime</vt:lpstr>
      <vt:lpstr>colTImeVal</vt:lpstr>
      <vt:lpstr>DuckRest</vt:lpstr>
      <vt:lpstr>DuckRoast</vt:lpstr>
      <vt:lpstr>green</vt:lpstr>
      <vt:lpstr>list</vt:lpstr>
      <vt:lpstr>Meat1</vt:lpstr>
      <vt:lpstr>Meat2</vt:lpstr>
      <vt:lpstr>now</vt:lpstr>
      <vt:lpstr>red</vt:lpstr>
      <vt:lpstr>Reformat</vt:lpstr>
      <vt:lpstr>refresh</vt:lpstr>
      <vt:lpstr>Rest</vt:lpstr>
      <vt:lpstr>Rest1</vt:lpstr>
      <vt:lpstr>Rest2</vt:lpstr>
      <vt:lpstr>Roast</vt:lpstr>
      <vt:lpstr>Roast1</vt:lpstr>
      <vt:lpstr>Roast2</vt:lpstr>
      <vt:lpstr>Serve</vt:lpstr>
      <vt:lpstr>Start</vt:lpstr>
      <vt:lpstr>Status</vt:lpstr>
      <vt:lpstr>Time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 Hill</dc:creator>
  <cp:keywords/>
  <dc:description/>
  <cp:lastModifiedBy>Lee</cp:lastModifiedBy>
  <cp:revision/>
  <cp:lastPrinted>2020-12-25T08:15:01Z</cp:lastPrinted>
  <dcterms:created xsi:type="dcterms:W3CDTF">2016-12-24T17:14:36Z</dcterms:created>
  <dcterms:modified xsi:type="dcterms:W3CDTF">2023-12-13T07:55:45Z</dcterms:modified>
  <cp:category/>
  <cp:contentStatus/>
</cp:coreProperties>
</file>